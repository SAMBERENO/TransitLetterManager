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ek4\OneDrive\Pulpit(1)\ProjektdlaStarego\CzysteArkuszeExcel\"/>
    </mc:Choice>
  </mc:AlternateContent>
  <xr:revisionPtr revIDLastSave="0" documentId="13_ncr:1_{20F3CE9B-5566-4635-BDFF-9C5088483A87}" xr6:coauthVersionLast="47" xr6:coauthVersionMax="47" xr10:uidLastSave="{00000000-0000-0000-0000-000000000000}"/>
  <bookViews>
    <workbookView xWindow="-28800" yWindow="12750" windowWidth="29010" windowHeight="15405" activeTab="1" xr2:uid="{00000000-000D-0000-FFFF-FFFF00000000}"/>
  </bookViews>
  <sheets>
    <sheet name="Braki_z kodami" sheetId="17" r:id="rId1"/>
    <sheet name="Braki_z_kodami - firmy zewn." sheetId="18" r:id="rId2"/>
  </sheets>
  <definedNames>
    <definedName name="_xlnm.Print_Area" localSheetId="0">'Braki_z kodami'!$A$1:$AG$47</definedName>
    <definedName name="_xlnm.Print_Area" localSheetId="1">'Braki_z_kodami - firmy zewn.'!$A$1:$AG$45</definedName>
  </definedNames>
  <calcPr calcId="191029"/>
  <customWorkbookViews>
    <customWorkbookView name="(Damian) - Widok osobisty" guid="{0CB1355C-9EE1-4DA2-AC66-E27EF6CC15E7}" mergeInterval="0" personalView="1" maximized="1" xWindow="1" yWindow="1" windowWidth="1280" windowHeight="80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8" l="1"/>
  <c r="B11" i="18"/>
  <c r="B13" i="18"/>
  <c r="B15" i="18"/>
  <c r="B17" i="18"/>
  <c r="B23" i="18"/>
  <c r="D23" i="18"/>
  <c r="E23" i="18"/>
  <c r="D9" i="18"/>
  <c r="D11" i="18"/>
  <c r="D13" i="18"/>
  <c r="D15" i="18"/>
  <c r="D17" i="18"/>
  <c r="A20" i="18"/>
  <c r="D21" i="18" l="1"/>
  <c r="D35" i="18" l="1"/>
  <c r="D33" i="18"/>
  <c r="D31" i="18"/>
  <c r="D29" i="18"/>
  <c r="D27" i="18"/>
  <c r="D25" i="18"/>
  <c r="D19" i="18"/>
  <c r="B35" i="18"/>
  <c r="B33" i="18"/>
  <c r="B31" i="18"/>
  <c r="B29" i="18"/>
  <c r="B27" i="18"/>
  <c r="B25" i="18"/>
  <c r="B21" i="18"/>
  <c r="B19" i="18"/>
  <c r="H5" i="17"/>
  <c r="Z5" i="18"/>
  <c r="A20" i="17"/>
  <c r="G17" i="17"/>
  <c r="S18" i="17"/>
  <c r="G35" i="17"/>
  <c r="E29" i="18" l="1"/>
  <c r="E17" i="18"/>
  <c r="E19" i="18"/>
  <c r="E15" i="18"/>
  <c r="E13" i="18"/>
  <c r="E11" i="18"/>
  <c r="E21" i="18"/>
  <c r="E9" i="18"/>
  <c r="G15" i="17" l="1"/>
  <c r="G25" i="17"/>
  <c r="G33" i="17"/>
  <c r="G9" i="17"/>
  <c r="G29" i="17"/>
  <c r="E27" i="18"/>
  <c r="G31" i="17"/>
  <c r="G27" i="17"/>
  <c r="G11" i="17"/>
  <c r="G23" i="17"/>
  <c r="E33" i="18" l="1"/>
  <c r="G19" i="17"/>
  <c r="G21" i="17"/>
  <c r="E31" i="18"/>
  <c r="G13" i="17" l="1"/>
  <c r="E25" i="18" l="1"/>
  <c r="S30" i="17" l="1"/>
  <c r="S20" i="17"/>
  <c r="S12" i="17"/>
  <c r="AW35" i="18"/>
  <c r="AV35" i="18"/>
  <c r="AU35" i="18"/>
  <c r="AT35" i="18"/>
  <c r="AS35" i="18"/>
  <c r="AR35" i="18"/>
  <c r="AQ35" i="18"/>
  <c r="AP35" i="18"/>
  <c r="AO35" i="18"/>
  <c r="AN35" i="18"/>
  <c r="AJ35" i="18"/>
  <c r="AI35" i="18"/>
  <c r="AH35" i="18"/>
  <c r="AG35" i="18"/>
  <c r="AF35" i="18"/>
  <c r="E35" i="18"/>
  <c r="AW33" i="18"/>
  <c r="AV33" i="18"/>
  <c r="AU33" i="18"/>
  <c r="AT33" i="18"/>
  <c r="AS33" i="18"/>
  <c r="AR33" i="18"/>
  <c r="AQ33" i="18"/>
  <c r="AP33" i="18"/>
  <c r="AO33" i="18"/>
  <c r="AN33" i="18"/>
  <c r="AJ33" i="18"/>
  <c r="AI33" i="18"/>
  <c r="AH33" i="18"/>
  <c r="AG33" i="18"/>
  <c r="AF33" i="18"/>
  <c r="AW31" i="18"/>
  <c r="AV31" i="18"/>
  <c r="AU31" i="18"/>
  <c r="AT31" i="18"/>
  <c r="AS31" i="18"/>
  <c r="AR31" i="18"/>
  <c r="AQ31" i="18"/>
  <c r="AP31" i="18"/>
  <c r="AO31" i="18"/>
  <c r="AN31" i="18"/>
  <c r="AJ31" i="18"/>
  <c r="AI31" i="18"/>
  <c r="AH31" i="18"/>
  <c r="AG31" i="18"/>
  <c r="AF31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J27" i="18"/>
  <c r="AI27" i="18"/>
  <c r="AH27" i="18"/>
  <c r="AG27" i="18"/>
  <c r="AF27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J25" i="18"/>
  <c r="AI25" i="18"/>
  <c r="AH25" i="18"/>
  <c r="AG25" i="18"/>
  <c r="AF25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C5" i="18"/>
  <c r="J5" i="18"/>
  <c r="C5" i="18"/>
  <c r="A24" i="18" l="1"/>
  <c r="A30" i="18"/>
  <c r="A22" i="18"/>
  <c r="A34" i="18"/>
  <c r="A16" i="18"/>
  <c r="A12" i="18"/>
  <c r="A32" i="18"/>
  <c r="A28" i="18"/>
  <c r="A36" i="18"/>
  <c r="A26" i="18"/>
  <c r="A10" i="18"/>
  <c r="A14" i="18"/>
  <c r="A18" i="18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S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S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C15" i="17"/>
  <c r="BD15" i="17"/>
  <c r="BE15" i="17"/>
  <c r="BF15" i="17"/>
  <c r="BG15" i="17"/>
  <c r="BH15" i="17"/>
  <c r="BI15" i="17"/>
  <c r="BJ15" i="17"/>
  <c r="BK15" i="17"/>
  <c r="BL15" i="17"/>
  <c r="BM15" i="17"/>
  <c r="BN15" i="17"/>
  <c r="BO15" i="17"/>
  <c r="BP15" i="17"/>
  <c r="BQ15" i="17"/>
  <c r="BR15" i="17"/>
  <c r="BS15" i="17"/>
  <c r="BT15" i="17"/>
  <c r="BU15" i="17"/>
  <c r="BV15" i="17"/>
  <c r="BW15" i="17"/>
  <c r="BX15" i="17"/>
  <c r="BY15" i="17"/>
  <c r="BZ15" i="17"/>
  <c r="CA15" i="17"/>
  <c r="S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C17" i="17"/>
  <c r="BD17" i="17"/>
  <c r="BE17" i="17"/>
  <c r="BF17" i="17"/>
  <c r="BG17" i="17"/>
  <c r="BH17" i="17"/>
  <c r="BI17" i="17"/>
  <c r="BJ17" i="17"/>
  <c r="BK17" i="17"/>
  <c r="BL17" i="17"/>
  <c r="BM17" i="17"/>
  <c r="BN17" i="17"/>
  <c r="BO17" i="17"/>
  <c r="BP17" i="17"/>
  <c r="BQ17" i="17"/>
  <c r="BR17" i="17"/>
  <c r="BS17" i="17"/>
  <c r="BT17" i="17"/>
  <c r="BU17" i="17"/>
  <c r="BV17" i="17"/>
  <c r="BW17" i="17"/>
  <c r="BX17" i="17"/>
  <c r="BY17" i="17"/>
  <c r="BZ17" i="17"/>
  <c r="CA17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S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S24" i="17"/>
  <c r="BC24" i="17"/>
  <c r="BD24" i="17"/>
  <c r="BE24" i="17"/>
  <c r="BF24" i="17"/>
  <c r="BG24" i="17"/>
  <c r="BH24" i="17"/>
  <c r="BI24" i="17"/>
  <c r="BJ24" i="17"/>
  <c r="BK24" i="17"/>
  <c r="BL24" i="17"/>
  <c r="BM24" i="17"/>
  <c r="BN24" i="17"/>
  <c r="BO24" i="17"/>
  <c r="BP24" i="17"/>
  <c r="BQ24" i="17"/>
  <c r="BR24" i="17"/>
  <c r="BS24" i="17"/>
  <c r="BT24" i="17"/>
  <c r="BU24" i="17"/>
  <c r="BV24" i="17"/>
  <c r="BW24" i="17"/>
  <c r="BX24" i="17"/>
  <c r="BY24" i="17"/>
  <c r="BZ24" i="17"/>
  <c r="CA24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C25" i="17"/>
  <c r="BD25" i="17"/>
  <c r="BE25" i="17"/>
  <c r="BF25" i="17"/>
  <c r="BG25" i="17"/>
  <c r="BH25" i="17"/>
  <c r="BI25" i="17"/>
  <c r="BJ25" i="17"/>
  <c r="BK25" i="17"/>
  <c r="BL25" i="17"/>
  <c r="BM25" i="17"/>
  <c r="BN25" i="17"/>
  <c r="BO25" i="17"/>
  <c r="BP25" i="17"/>
  <c r="BQ25" i="17"/>
  <c r="BR25" i="17"/>
  <c r="BS25" i="17"/>
  <c r="BT25" i="17"/>
  <c r="BU25" i="17"/>
  <c r="BV25" i="17"/>
  <c r="BW25" i="17"/>
  <c r="BX25" i="17"/>
  <c r="BY25" i="17"/>
  <c r="BZ25" i="17"/>
  <c r="CA25" i="17"/>
  <c r="S26" i="17"/>
  <c r="BC26" i="17"/>
  <c r="BD26" i="17"/>
  <c r="BE26" i="17"/>
  <c r="BF26" i="17"/>
  <c r="BG26" i="17"/>
  <c r="BH26" i="17"/>
  <c r="BI26" i="17"/>
  <c r="BJ26" i="17"/>
  <c r="BK26" i="17"/>
  <c r="BL26" i="17"/>
  <c r="BM26" i="17"/>
  <c r="BN26" i="17"/>
  <c r="BO26" i="17"/>
  <c r="BP26" i="17"/>
  <c r="BQ26" i="17"/>
  <c r="BR26" i="17"/>
  <c r="BS26" i="17"/>
  <c r="BT26" i="17"/>
  <c r="BU26" i="17"/>
  <c r="BV26" i="17"/>
  <c r="BW26" i="17"/>
  <c r="BX26" i="17"/>
  <c r="BY26" i="17"/>
  <c r="BZ26" i="17"/>
  <c r="CA26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AY27" i="17"/>
  <c r="AZ27" i="17"/>
  <c r="BA27" i="17"/>
  <c r="BC27" i="17"/>
  <c r="BD27" i="17"/>
  <c r="BE27" i="17"/>
  <c r="BF27" i="17"/>
  <c r="BG27" i="17"/>
  <c r="BH27" i="17"/>
  <c r="BI27" i="17"/>
  <c r="BJ27" i="17"/>
  <c r="BK27" i="17"/>
  <c r="BL27" i="17"/>
  <c r="BM27" i="17"/>
  <c r="BN27" i="17"/>
  <c r="BO27" i="17"/>
  <c r="BP27" i="17"/>
  <c r="BQ27" i="17"/>
  <c r="BR27" i="17"/>
  <c r="BS27" i="17"/>
  <c r="BT27" i="17"/>
  <c r="BU27" i="17"/>
  <c r="BV27" i="17"/>
  <c r="BW27" i="17"/>
  <c r="BX27" i="17"/>
  <c r="BY27" i="17"/>
  <c r="BZ27" i="17"/>
  <c r="CA27" i="17"/>
  <c r="S28" i="17"/>
  <c r="BC28" i="17"/>
  <c r="BD28" i="17"/>
  <c r="BE28" i="17"/>
  <c r="BF28" i="17"/>
  <c r="BG28" i="17"/>
  <c r="BH28" i="17"/>
  <c r="BI28" i="17"/>
  <c r="BJ28" i="17"/>
  <c r="BK28" i="17"/>
  <c r="BL28" i="17"/>
  <c r="BM28" i="17"/>
  <c r="BN28" i="17"/>
  <c r="BO28" i="17"/>
  <c r="BP28" i="17"/>
  <c r="BQ28" i="17"/>
  <c r="BR28" i="17"/>
  <c r="BS28" i="17"/>
  <c r="BT28" i="17"/>
  <c r="BU28" i="17"/>
  <c r="BV28" i="17"/>
  <c r="BW28" i="17"/>
  <c r="BX28" i="17"/>
  <c r="BY28" i="17"/>
  <c r="BZ28" i="17"/>
  <c r="CA28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C29" i="17"/>
  <c r="BD29" i="17"/>
  <c r="BE29" i="17"/>
  <c r="BF29" i="17"/>
  <c r="BG29" i="17"/>
  <c r="BH29" i="17"/>
  <c r="BI29" i="17"/>
  <c r="BJ29" i="17"/>
  <c r="BK29" i="17"/>
  <c r="BL29" i="17"/>
  <c r="BM29" i="17"/>
  <c r="BN29" i="17"/>
  <c r="BO29" i="17"/>
  <c r="BP29" i="17"/>
  <c r="BQ29" i="17"/>
  <c r="BR29" i="17"/>
  <c r="BS29" i="17"/>
  <c r="BT29" i="17"/>
  <c r="BU29" i="17"/>
  <c r="BV29" i="17"/>
  <c r="BW29" i="17"/>
  <c r="BX29" i="17"/>
  <c r="BY29" i="17"/>
  <c r="BZ29" i="17"/>
  <c r="CA29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BQ30" i="17"/>
  <c r="BR30" i="17"/>
  <c r="BS30" i="17"/>
  <c r="BT30" i="17"/>
  <c r="BU30" i="17"/>
  <c r="BV30" i="17"/>
  <c r="BW30" i="17"/>
  <c r="BX30" i="17"/>
  <c r="BY30" i="17"/>
  <c r="BZ30" i="17"/>
  <c r="CA30" i="17"/>
  <c r="AH31" i="17"/>
  <c r="AI31" i="17"/>
  <c r="AL31" i="17"/>
  <c r="AM31" i="17"/>
  <c r="AN31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BQ31" i="17"/>
  <c r="BR31" i="17"/>
  <c r="BS31" i="17"/>
  <c r="BT31" i="17"/>
  <c r="BU31" i="17"/>
  <c r="BV31" i="17"/>
  <c r="BW31" i="17"/>
  <c r="BX31" i="17"/>
  <c r="BY31" i="17"/>
  <c r="BZ31" i="17"/>
  <c r="CA31" i="17"/>
  <c r="S32" i="17"/>
  <c r="BC32" i="17"/>
  <c r="BD32" i="17"/>
  <c r="BE32" i="17"/>
  <c r="BF32" i="17"/>
  <c r="BG32" i="17"/>
  <c r="BH32" i="17"/>
  <c r="BI32" i="17"/>
  <c r="BJ32" i="17"/>
  <c r="BK32" i="17"/>
  <c r="BL32" i="17"/>
  <c r="BM32" i="17"/>
  <c r="BN32" i="17"/>
  <c r="BO32" i="17"/>
  <c r="BP32" i="17"/>
  <c r="BQ32" i="17"/>
  <c r="BR32" i="17"/>
  <c r="BS32" i="17"/>
  <c r="BT32" i="17"/>
  <c r="BU32" i="17"/>
  <c r="BV32" i="17"/>
  <c r="BW32" i="17"/>
  <c r="BX32" i="17"/>
  <c r="BY32" i="17"/>
  <c r="BZ32" i="17"/>
  <c r="CA32" i="17"/>
  <c r="AH33" i="17"/>
  <c r="AN33" i="17"/>
  <c r="AO33" i="17"/>
  <c r="AP33" i="17"/>
  <c r="AQ33" i="17"/>
  <c r="AR33" i="17"/>
  <c r="AS33" i="17"/>
  <c r="AT33" i="17"/>
  <c r="AU33" i="17"/>
  <c r="AV33" i="17"/>
  <c r="AW33" i="17"/>
  <c r="AX33" i="17"/>
  <c r="AY33" i="17"/>
  <c r="AZ33" i="17"/>
  <c r="BA33" i="17"/>
  <c r="BC33" i="17"/>
  <c r="BD33" i="17"/>
  <c r="BE33" i="17"/>
  <c r="BF33" i="17"/>
  <c r="BG33" i="17"/>
  <c r="BH33" i="17"/>
  <c r="BI33" i="17"/>
  <c r="BJ33" i="17"/>
  <c r="BK33" i="17"/>
  <c r="BL33" i="17"/>
  <c r="BM33" i="17"/>
  <c r="BN33" i="17"/>
  <c r="BO33" i="17"/>
  <c r="BP33" i="17"/>
  <c r="BQ33" i="17"/>
  <c r="BR33" i="17"/>
  <c r="BS33" i="17"/>
  <c r="BT33" i="17"/>
  <c r="BU33" i="17"/>
  <c r="BV33" i="17"/>
  <c r="BW33" i="17"/>
  <c r="BX33" i="17"/>
  <c r="BY33" i="17"/>
  <c r="BZ33" i="17"/>
  <c r="CA33" i="17"/>
  <c r="S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BX34" i="17"/>
  <c r="BY34" i="17"/>
  <c r="BZ34" i="17"/>
  <c r="CA34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AY35" i="17"/>
  <c r="AZ35" i="17"/>
  <c r="BA35" i="17"/>
  <c r="BC35" i="17"/>
  <c r="BD35" i="17"/>
  <c r="BE35" i="17"/>
  <c r="BF35" i="17"/>
  <c r="BG35" i="17"/>
  <c r="BH35" i="17"/>
  <c r="BI35" i="17"/>
  <c r="BJ35" i="17"/>
  <c r="BK35" i="17"/>
  <c r="BL35" i="17"/>
  <c r="BM35" i="17"/>
  <c r="BN35" i="17"/>
  <c r="BO35" i="17"/>
  <c r="BP35" i="17"/>
  <c r="BQ35" i="17"/>
  <c r="BR35" i="17"/>
  <c r="BS35" i="17"/>
  <c r="BT35" i="17"/>
  <c r="BU35" i="17"/>
  <c r="BV35" i="17"/>
  <c r="BW35" i="17"/>
  <c r="BX35" i="17"/>
  <c r="BY35" i="17"/>
  <c r="BZ35" i="17"/>
  <c r="CA35" i="17"/>
  <c r="S36" i="17"/>
  <c r="BC36" i="17"/>
  <c r="BD36" i="17"/>
  <c r="BE36" i="17"/>
  <c r="BF36" i="17"/>
  <c r="BG36" i="17"/>
  <c r="BH36" i="17"/>
  <c r="BI36" i="17"/>
  <c r="BJ36" i="17"/>
  <c r="BK36" i="17"/>
  <c r="BL36" i="17"/>
  <c r="BM36" i="17"/>
  <c r="BN36" i="17"/>
  <c r="BO36" i="17"/>
  <c r="BP36" i="17"/>
  <c r="BQ36" i="17"/>
  <c r="BR36" i="17"/>
  <c r="BS36" i="17"/>
  <c r="BT36" i="17"/>
  <c r="BU36" i="17"/>
  <c r="BV36" i="17"/>
  <c r="BW36" i="17"/>
  <c r="BX36" i="17"/>
  <c r="BY36" i="17"/>
  <c r="BZ36" i="17"/>
  <c r="CA36" i="17"/>
  <c r="A24" i="17" l="1"/>
  <c r="A22" i="17"/>
  <c r="A18" i="17"/>
  <c r="A12" i="17"/>
  <c r="A32" i="17"/>
  <c r="A16" i="17"/>
  <c r="A30" i="17"/>
  <c r="A28" i="17"/>
  <c r="A14" i="17"/>
  <c r="A10" i="17"/>
  <c r="A26" i="17"/>
  <c r="A34" i="17"/>
  <c r="A36" i="17"/>
  <c r="BB24" i="17"/>
  <c r="BB13" i="17"/>
  <c r="BB31" i="17"/>
  <c r="BB21" i="17"/>
  <c r="BB12" i="17"/>
  <c r="BB9" i="17"/>
  <c r="BB32" i="17"/>
  <c r="BB29" i="17"/>
  <c r="BB26" i="17"/>
  <c r="BB23" i="17"/>
  <c r="BB22" i="17"/>
  <c r="BB17" i="17"/>
  <c r="BB15" i="17"/>
  <c r="BB11" i="17"/>
  <c r="BB35" i="17"/>
  <c r="BB33" i="17"/>
  <c r="BB18" i="17"/>
  <c r="BB36" i="17"/>
  <c r="BB30" i="17"/>
  <c r="BB27" i="17"/>
  <c r="BB25" i="17"/>
  <c r="BB16" i="17"/>
  <c r="BB34" i="17"/>
  <c r="BB28" i="17"/>
  <c r="BB14" i="17"/>
  <c r="BB10" i="17"/>
</calcChain>
</file>

<file path=xl/sharedStrings.xml><?xml version="1.0" encoding="utf-8"?>
<sst xmlns="http://schemas.openxmlformats.org/spreadsheetml/2006/main" count="169" uniqueCount="81">
  <si>
    <t>Strona 1 z 1</t>
  </si>
  <si>
    <t>Dzienny rejestr braków - inspekcja</t>
  </si>
  <si>
    <t>Numer: F.QA.04.01.02</t>
  </si>
  <si>
    <t>Sprawdzono</t>
  </si>
  <si>
    <t>Braki (z podziałem na kody)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</si>
  <si>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</si>
  <si>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</si>
  <si>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</si>
  <si>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</si>
  <si>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</si>
  <si>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</si>
  <si>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</si>
  <si>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</si>
  <si>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</si>
  <si>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</si>
  <si>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</si>
  <si>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</si>
  <si>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</si>
  <si>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</si>
  <si>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</si>
  <si>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Uwagi</t>
  </si>
  <si>
    <t>Kody braków</t>
  </si>
  <si>
    <t xml:space="preserve"> A - Niedopełnienia       </t>
  </si>
  <si>
    <t>C - Wtrącenia</t>
  </si>
  <si>
    <t xml:space="preserve"> D - Uszkodzona forma</t>
  </si>
  <si>
    <t>E - Przypalenia</t>
  </si>
  <si>
    <t>F - Zabrudzona forma</t>
  </si>
  <si>
    <t xml:space="preserve"> G - Pęknięcia</t>
  </si>
  <si>
    <t>H - Wada wymiarowa</t>
  </si>
  <si>
    <t>Operator na kontroli</t>
  </si>
  <si>
    <t>Ilość 
braków</t>
  </si>
  <si>
    <t>Wtryskarki</t>
  </si>
  <si>
    <t>Prasy</t>
  </si>
  <si>
    <t>Zatwierdził</t>
  </si>
  <si>
    <t>PHE</t>
  </si>
  <si>
    <t>Wprowadził do systemu</t>
  </si>
  <si>
    <t>brygadzista</t>
  </si>
  <si>
    <t>inspektor</t>
  </si>
  <si>
    <t>P</t>
  </si>
  <si>
    <t>R</t>
  </si>
  <si>
    <t>Nr wewn. zlec. Prod</t>
  </si>
  <si>
    <t>B - Pęcherze powietrza</t>
  </si>
  <si>
    <t>Data sprwdz</t>
  </si>
  <si>
    <t>S</t>
  </si>
  <si>
    <t>PW Plus</t>
  </si>
  <si>
    <t>ZP Pon</t>
  </si>
  <si>
    <t>ICL</t>
  </si>
  <si>
    <t>Item</t>
  </si>
  <si>
    <t>Data Produkcji</t>
  </si>
  <si>
    <t>P - Pęcherze powietrza (wewnętrzne) / blisters</t>
  </si>
  <si>
    <t>T</t>
  </si>
  <si>
    <t>U</t>
  </si>
  <si>
    <t>I - Niewłaściwy kolor kod, off set, Uszkodzenia CRIO</t>
  </si>
  <si>
    <t>L - Zanieczyszczenia/ odbarwienia</t>
  </si>
  <si>
    <t>M - Metal nie połączony z gumą</t>
  </si>
  <si>
    <t>O - Metal niepołącznoy z gumą</t>
  </si>
  <si>
    <t xml:space="preserve"> K - Niedowulkanizowania</t>
  </si>
  <si>
    <t xml:space="preserve"> N - Deformacja teflonu</t>
  </si>
  <si>
    <t xml:space="preserve"> S - Brak szczelności</t>
  </si>
  <si>
    <t>T - Przyklejona wypływka</t>
  </si>
  <si>
    <t>U - wystająca wypływka</t>
  </si>
  <si>
    <t>Dzienny rejestr ruchów wyrobów</t>
  </si>
  <si>
    <t>Plus</t>
  </si>
  <si>
    <t>Kontrola</t>
  </si>
  <si>
    <t>ZP</t>
  </si>
  <si>
    <t>Obrywanie</t>
  </si>
  <si>
    <t>ObrywKon</t>
  </si>
  <si>
    <t>Mierzenie</t>
  </si>
  <si>
    <t>Nazwa firmy</t>
  </si>
  <si>
    <t>Operacja</t>
  </si>
  <si>
    <t>Naprawa</t>
  </si>
  <si>
    <t>Data sprawdz</t>
  </si>
  <si>
    <t>Pakowanie</t>
  </si>
  <si>
    <t>Reklamacja</t>
  </si>
  <si>
    <t>V</t>
  </si>
  <si>
    <t>W</t>
  </si>
  <si>
    <t>X</t>
  </si>
  <si>
    <t>Wydanie: 06</t>
  </si>
  <si>
    <t>025/P</t>
  </si>
  <si>
    <t>030/P</t>
  </si>
  <si>
    <t>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</si>
</sst>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164" formatCode="_-* #,##0\ &quot;DM&quot;_-;\-* #,##0\ &quot;DM&quot;_-;_-* &quot;-&quot;\ &quot;DM&quot;_-;_-@_-"/>
    <numFmt numFmtId="165" formatCode="_-* #,##0\ _D_M_-;\-* #,##0\ _D_M_-;_-* &quot;-&quot;\ _D_M_-;_-@_-"/>
    <numFmt numFmtId="166" formatCode="_-* #,##0.00\ &quot;DM&quot;_-;\-* #,##0.00\ &quot;DM&quot;_-;_-* &quot;-&quot;??\ &quot;DM&quot;_-;_-@_-"/>
    <numFmt numFmtId="167" formatCode="_-* #,##0.00\ _D_M_-;\-* #,##0.00\ _D_M_-;_-* &quot;-&quot;??\ _D_M_-;_-@_-"/>
  </numFmts>
  <fonts count="25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MS Sans Serif"/>
      <family val="2"/>
      <charset val="238"/>
    </font>
    <font>
      <sz val="10"/>
      <name val="Times New Roman"/>
      <family val="1"/>
      <charset val="238"/>
    </font>
    <font>
      <b/>
      <sz val="8"/>
      <name val="Tahoma"/>
      <family val="2"/>
      <charset val="238"/>
    </font>
    <font>
      <b/>
      <sz val="14"/>
      <name val="Tahoma"/>
      <family val="2"/>
      <charset val="238"/>
    </font>
    <font>
      <sz val="10"/>
      <name val="Arial CE"/>
      <charset val="238"/>
    </font>
    <font>
      <sz val="10"/>
      <name val="Tahoma"/>
      <family val="2"/>
      <charset val="238"/>
    </font>
    <font>
      <sz val="12"/>
      <name val="Tahoma"/>
      <family val="2"/>
      <charset val="238"/>
    </font>
    <font>
      <b/>
      <sz val="10"/>
      <name val="Tahoma"/>
      <family val="2"/>
      <charset val="238"/>
    </font>
    <font>
      <b/>
      <sz val="18"/>
      <name val="Tahoma"/>
      <family val="2"/>
      <charset val="238"/>
    </font>
    <font>
      <sz val="14"/>
      <name val="Tahoma"/>
      <family val="2"/>
      <charset val="238"/>
    </font>
    <font>
      <sz val="36"/>
      <name val="C39HrP48DlTt"/>
    </font>
    <font>
      <sz val="8"/>
      <name val="Tahoma"/>
      <family val="2"/>
      <charset val="238"/>
    </font>
    <font>
      <sz val="12"/>
      <name val="Arial"/>
      <family val="2"/>
      <charset val="238"/>
    </font>
    <font>
      <sz val="36"/>
      <color theme="1"/>
      <name val="C39HrP48DlTt"/>
    </font>
    <font>
      <sz val="10"/>
      <color rgb="FF000000"/>
      <name val="Arial"/>
      <family val="2"/>
      <charset val="238"/>
    </font>
    <font>
      <b/>
      <sz val="12"/>
      <name val="Tahoma"/>
      <family val="2"/>
      <charset val="238"/>
    </font>
    <font>
      <sz val="34"/>
      <color theme="1"/>
      <name val="C39HrP48DlTt"/>
    </font>
    <font>
      <sz val="34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/>
    <xf numFmtId="0" fontId="4" fillId="0" borderId="0"/>
    <xf numFmtId="0" fontId="7" fillId="0" borderId="0"/>
    <xf numFmtId="0" fontId="2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8" fillId="0" borderId="0" xfId="5" applyFont="1"/>
    <xf numFmtId="0" fontId="9" fillId="0" borderId="0" xfId="5" applyFont="1"/>
    <xf numFmtId="0" fontId="10" fillId="2" borderId="2" xfId="5" applyFont="1" applyFill="1" applyBorder="1" applyAlignment="1">
      <alignment horizontal="center" vertical="center"/>
    </xf>
    <xf numFmtId="0" fontId="10" fillId="2" borderId="3" xfId="5" applyFont="1" applyFill="1" applyBorder="1" applyAlignment="1">
      <alignment horizontal="center" vertical="center"/>
    </xf>
    <xf numFmtId="0" fontId="10" fillId="2" borderId="4" xfId="5" applyFont="1" applyFill="1" applyBorder="1" applyAlignment="1">
      <alignment horizontal="center" vertical="center"/>
    </xf>
    <xf numFmtId="0" fontId="10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left"/>
    </xf>
    <xf numFmtId="0" fontId="8" fillId="2" borderId="0" xfId="5" applyFont="1" applyFill="1"/>
    <xf numFmtId="0" fontId="8" fillId="2" borderId="0" xfId="5" applyFont="1" applyFill="1" applyAlignment="1">
      <alignment horizontal="left"/>
    </xf>
    <xf numFmtId="0" fontId="8" fillId="2" borderId="7" xfId="5" applyFont="1" applyFill="1" applyBorder="1"/>
    <xf numFmtId="0" fontId="8" fillId="2" borderId="8" xfId="5" applyFont="1" applyFill="1" applyBorder="1" applyAlignment="1">
      <alignment horizontal="left"/>
    </xf>
    <xf numFmtId="0" fontId="8" fillId="2" borderId="9" xfId="5" applyFont="1" applyFill="1" applyBorder="1"/>
    <xf numFmtId="0" fontId="8" fillId="2" borderId="9" xfId="5" applyFont="1" applyFill="1" applyBorder="1" applyAlignment="1">
      <alignment horizontal="left"/>
    </xf>
    <xf numFmtId="0" fontId="8" fillId="2" borderId="10" xfId="5" applyFont="1" applyFill="1" applyBorder="1"/>
    <xf numFmtId="0" fontId="8" fillId="2" borderId="11" xfId="5" applyFont="1" applyFill="1" applyBorder="1" applyAlignment="1">
      <alignment horizontal="left"/>
    </xf>
    <xf numFmtId="0" fontId="8" fillId="2" borderId="12" xfId="5" applyFont="1" applyFill="1" applyBorder="1"/>
    <xf numFmtId="0" fontId="8" fillId="2" borderId="12" xfId="5" applyFont="1" applyFill="1" applyBorder="1" applyAlignment="1">
      <alignment horizontal="left"/>
    </xf>
    <xf numFmtId="0" fontId="8" fillId="2" borderId="13" xfId="5" applyFont="1" applyFill="1" applyBorder="1"/>
    <xf numFmtId="0" fontId="10" fillId="0" borderId="0" xfId="5" applyFont="1" applyAlignment="1">
      <alignment horizontal="center" vertical="center" wrapText="1"/>
    </xf>
    <xf numFmtId="0" fontId="8" fillId="0" borderId="15" xfId="5" applyFont="1" applyBorder="1"/>
    <xf numFmtId="0" fontId="12" fillId="0" borderId="15" xfId="5" applyFont="1" applyBorder="1"/>
    <xf numFmtId="0" fontId="9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 wrapText="1"/>
    </xf>
    <xf numFmtId="0" fontId="10" fillId="2" borderId="17" xfId="5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15" fillId="0" borderId="0" xfId="5" applyFont="1" applyAlignment="1">
      <alignment horizontal="center" vertical="center" wrapText="1"/>
    </xf>
    <xf numFmtId="0" fontId="10" fillId="2" borderId="14" xfId="5" applyFont="1" applyFill="1" applyBorder="1" applyAlignment="1">
      <alignment horizontal="center" vertical="center" wrapText="1"/>
    </xf>
    <xf numFmtId="0" fontId="14" fillId="0" borderId="0" xfId="5" applyFont="1"/>
    <xf numFmtId="0" fontId="8" fillId="0" borderId="0" xfId="5" applyFont="1" applyAlignment="1" applyProtection="1">
      <alignment horizontal="center" vertical="center"/>
      <protection locked="0"/>
    </xf>
    <xf numFmtId="0" fontId="2" fillId="0" borderId="0" xfId="5" applyFont="1" applyAlignment="1">
      <alignment horizontal="center" vertical="center" wrapText="1"/>
    </xf>
    <xf numFmtId="0" fontId="6" fillId="2" borderId="0" xfId="5" applyFont="1" applyFill="1" applyAlignment="1">
      <alignment horizontal="center"/>
    </xf>
    <xf numFmtId="0" fontId="9" fillId="0" borderId="0" xfId="5" applyFont="1" applyAlignment="1">
      <alignment horizontal="center"/>
    </xf>
    <xf numFmtId="0" fontId="14" fillId="0" borderId="5" xfId="5" applyFont="1" applyBorder="1" applyAlignment="1" applyProtection="1">
      <alignment horizontal="center" vertical="center" wrapText="1"/>
      <protection locked="0"/>
    </xf>
    <xf numFmtId="44" fontId="6" fillId="0" borderId="30" xfId="11" applyFont="1" applyBorder="1" applyAlignment="1">
      <alignment horizontal="center" vertical="center"/>
    </xf>
    <xf numFmtId="0" fontId="1" fillId="0" borderId="0" xfId="12"/>
    <xf numFmtId="44" fontId="6" fillId="0" borderId="0" xfId="11" applyFont="1" applyBorder="1" applyAlignment="1">
      <alignment horizontal="center" vertical="center"/>
    </xf>
    <xf numFmtId="44" fontId="6" fillId="0" borderId="15" xfId="11" applyFont="1" applyBorder="1" applyAlignment="1">
      <alignment horizontal="center" vertical="center"/>
    </xf>
    <xf numFmtId="14" fontId="1" fillId="0" borderId="0" xfId="12" applyNumberFormat="1"/>
    <xf numFmtId="0" fontId="18" fillId="0" borderId="5" xfId="5" applyFont="1" applyBorder="1" applyAlignment="1" applyProtection="1">
      <alignment horizontal="center" vertical="center"/>
      <protection locked="0"/>
    </xf>
    <xf numFmtId="0" fontId="8" fillId="0" borderId="5" xfId="5" applyFont="1" applyBorder="1" applyAlignment="1" applyProtection="1">
      <alignment horizontal="center" vertical="center" wrapText="1"/>
      <protection locked="0"/>
    </xf>
    <xf numFmtId="0" fontId="8" fillId="0" borderId="16" xfId="5" applyFont="1" applyBorder="1" applyAlignment="1" applyProtection="1">
      <alignment horizontal="center" vertical="center" wrapText="1"/>
      <protection locked="0"/>
    </xf>
    <xf numFmtId="0" fontId="8" fillId="0" borderId="19" xfId="5" applyFont="1" applyBorder="1" applyAlignment="1" applyProtection="1">
      <alignment horizontal="center" vertical="center" wrapText="1"/>
      <protection locked="0"/>
    </xf>
    <xf numFmtId="0" fontId="8" fillId="0" borderId="22" xfId="5" applyFont="1" applyBorder="1" applyAlignment="1">
      <alignment horizontal="center" vertical="center" wrapText="1"/>
    </xf>
    <xf numFmtId="0" fontId="8" fillId="0" borderId="14" xfId="5" applyFont="1" applyBorder="1" applyAlignment="1" applyProtection="1">
      <alignment horizontal="center" vertical="center" wrapText="1"/>
      <protection locked="0"/>
    </xf>
    <xf numFmtId="0" fontId="14" fillId="0" borderId="18" xfId="5" applyFont="1" applyBorder="1" applyAlignment="1" applyProtection="1">
      <alignment horizontal="center" vertical="center" wrapText="1"/>
      <protection locked="0"/>
    </xf>
    <xf numFmtId="0" fontId="8" fillId="0" borderId="18" xfId="5" applyFont="1" applyBorder="1" applyAlignment="1" applyProtection="1">
      <alignment horizontal="center" vertical="center" wrapText="1"/>
      <protection locked="0"/>
    </xf>
    <xf numFmtId="14" fontId="8" fillId="0" borderId="5" xfId="5" applyNumberFormat="1" applyFont="1" applyBorder="1" applyAlignment="1" applyProtection="1">
      <alignment horizontal="center" vertical="center" wrapText="1"/>
      <protection locked="0"/>
    </xf>
    <xf numFmtId="0" fontId="5" fillId="2" borderId="5" xfId="5" applyFont="1" applyFill="1" applyBorder="1" applyAlignment="1">
      <alignment horizontal="center" vertical="center" wrapText="1"/>
    </xf>
    <xf numFmtId="0" fontId="10" fillId="2" borderId="36" xfId="5" applyFont="1" applyFill="1" applyBorder="1" applyAlignment="1">
      <alignment horizontal="center" vertical="center"/>
    </xf>
    <xf numFmtId="0" fontId="10" fillId="2" borderId="37" xfId="5" applyFont="1" applyFill="1" applyBorder="1" applyAlignment="1">
      <alignment horizontal="center" vertical="center"/>
    </xf>
    <xf numFmtId="0" fontId="10" fillId="2" borderId="23" xfId="5" applyFont="1" applyFill="1" applyBorder="1" applyAlignment="1">
      <alignment horizontal="center" vertical="center"/>
    </xf>
    <xf numFmtId="0" fontId="10" fillId="2" borderId="38" xfId="5" applyFont="1" applyFill="1" applyBorder="1" applyAlignment="1">
      <alignment horizontal="center" vertical="center"/>
    </xf>
    <xf numFmtId="0" fontId="14" fillId="0" borderId="14" xfId="5" applyFont="1" applyBorder="1" applyAlignment="1" applyProtection="1">
      <alignment horizontal="center" vertical="center" wrapText="1"/>
      <protection locked="0"/>
    </xf>
    <xf numFmtId="0" fontId="5" fillId="0" borderId="22" xfId="5" applyFont="1" applyBorder="1" applyAlignment="1">
      <alignment horizontal="center" vertical="center" wrapText="1"/>
    </xf>
    <xf numFmtId="0" fontId="8" fillId="0" borderId="0" xfId="5" applyFont="1" applyAlignment="1">
      <alignment horizontal="left"/>
    </xf>
    <xf numFmtId="0" fontId="2" fillId="0" borderId="40" xfId="0" applyFont="1" applyBorder="1" applyAlignment="1">
      <alignment horizontal="left"/>
    </xf>
    <xf numFmtId="0" fontId="8" fillId="3" borderId="19" xfId="5" applyFont="1" applyFill="1" applyBorder="1" applyAlignment="1" applyProtection="1">
      <alignment horizontal="center" vertical="center" wrapText="1"/>
      <protection locked="0"/>
    </xf>
    <xf numFmtId="0" fontId="8" fillId="0" borderId="14" xfId="3" applyFont="1" applyBorder="1" applyAlignment="1">
      <alignment horizontal="center"/>
    </xf>
    <xf numFmtId="44" fontId="6" fillId="0" borderId="30" xfId="11" applyFont="1" applyBorder="1" applyAlignment="1">
      <alignment horizontal="center" vertical="center"/>
    </xf>
    <xf numFmtId="0" fontId="1" fillId="0" borderId="30" xfId="12" applyBorder="1" applyAlignment="1">
      <alignment horizontal="center" vertical="center"/>
    </xf>
    <xf numFmtId="0" fontId="1" fillId="0" borderId="21" xfId="12" applyBorder="1" applyAlignment="1">
      <alignment horizontal="center" vertical="center"/>
    </xf>
    <xf numFmtId="0" fontId="1" fillId="0" borderId="0" xfId="12" applyAlignment="1">
      <alignment horizontal="center" vertical="center"/>
    </xf>
    <xf numFmtId="0" fontId="1" fillId="0" borderId="20" xfId="12" applyBorder="1" applyAlignment="1">
      <alignment horizontal="center" vertical="center"/>
    </xf>
    <xf numFmtId="0" fontId="1" fillId="0" borderId="15" xfId="12" applyBorder="1" applyAlignment="1">
      <alignment horizontal="center" vertical="center"/>
    </xf>
    <xf numFmtId="0" fontId="1" fillId="0" borderId="19" xfId="12" applyBorder="1" applyAlignment="1">
      <alignment horizontal="center" vertical="center"/>
    </xf>
    <xf numFmtId="0" fontId="8" fillId="0" borderId="5" xfId="3" applyFont="1" applyBorder="1" applyAlignment="1">
      <alignment horizontal="left"/>
    </xf>
    <xf numFmtId="0" fontId="16" fillId="0" borderId="0" xfId="12" applyFont="1" applyAlignment="1">
      <alignment horizontal="center" vertical="center"/>
    </xf>
    <xf numFmtId="0" fontId="22" fillId="0" borderId="0" xfId="12" applyFont="1"/>
    <xf numFmtId="0" fontId="10" fillId="2" borderId="32" xfId="5" applyFont="1" applyFill="1" applyBorder="1" applyAlignment="1">
      <alignment horizontal="center" vertical="center" wrapText="1"/>
    </xf>
    <xf numFmtId="0" fontId="10" fillId="2" borderId="33" xfId="5" applyFont="1" applyFill="1" applyBorder="1" applyAlignment="1">
      <alignment horizontal="center" vertical="center" wrapText="1"/>
    </xf>
    <xf numFmtId="0" fontId="10" fillId="2" borderId="13" xfId="5" applyFont="1" applyFill="1" applyBorder="1" applyAlignment="1">
      <alignment horizontal="center" vertical="center" wrapText="1"/>
    </xf>
    <xf numFmtId="0" fontId="10" fillId="2" borderId="7" xfId="5" applyFont="1" applyFill="1" applyBorder="1" applyAlignment="1">
      <alignment horizontal="center" vertical="center" wrapText="1"/>
    </xf>
    <xf numFmtId="0" fontId="10" fillId="2" borderId="35" xfId="5" applyFont="1" applyFill="1" applyBorder="1" applyAlignment="1">
      <alignment horizontal="center" vertical="center" wrapText="1"/>
    </xf>
    <xf numFmtId="0" fontId="10" fillId="2" borderId="35" xfId="5" applyFont="1" applyFill="1" applyBorder="1" applyAlignment="1">
      <alignment horizontal="center" vertical="center"/>
    </xf>
    <xf numFmtId="0" fontId="10" fillId="2" borderId="34" xfId="5" applyFont="1" applyFill="1" applyBorder="1" applyAlignment="1">
      <alignment horizontal="center" vertical="center"/>
    </xf>
    <xf numFmtId="0" fontId="10" fillId="2" borderId="31" xfId="5" applyFont="1" applyFill="1" applyBorder="1" applyAlignment="1">
      <alignment horizontal="center" vertical="center"/>
    </xf>
    <xf numFmtId="0" fontId="10" fillId="2" borderId="24" xfId="5" applyFont="1" applyFill="1" applyBorder="1" applyAlignment="1">
      <alignment horizontal="center" vertical="center"/>
    </xf>
    <xf numFmtId="0" fontId="10" fillId="2" borderId="11" xfId="5" applyFont="1" applyFill="1" applyBorder="1" applyAlignment="1">
      <alignment horizontal="center" vertical="center"/>
    </xf>
    <xf numFmtId="0" fontId="10" fillId="2" borderId="12" xfId="5" applyFont="1" applyFill="1" applyBorder="1" applyAlignment="1">
      <alignment horizontal="center" vertical="center"/>
    </xf>
    <xf numFmtId="0" fontId="10" fillId="2" borderId="13" xfId="5" applyFont="1" applyFill="1" applyBorder="1" applyAlignment="1">
      <alignment horizontal="center" vertical="center"/>
    </xf>
    <xf numFmtId="0" fontId="10" fillId="2" borderId="8" xfId="5" applyFont="1" applyFill="1" applyBorder="1" applyAlignment="1">
      <alignment horizontal="center" vertical="center"/>
    </xf>
    <xf numFmtId="0" fontId="10" fillId="2" borderId="9" xfId="5" applyFont="1" applyFill="1" applyBorder="1" applyAlignment="1">
      <alignment horizontal="center" vertical="center"/>
    </xf>
    <xf numFmtId="0" fontId="10" fillId="2" borderId="10" xfId="5" applyFont="1" applyFill="1" applyBorder="1" applyAlignment="1">
      <alignment horizontal="center" vertical="center"/>
    </xf>
    <xf numFmtId="0" fontId="16" fillId="0" borderId="26" xfId="12" applyFont="1" applyBorder="1" applyAlignment="1">
      <alignment horizontal="center" vertical="center"/>
    </xf>
    <xf numFmtId="0" fontId="24" fillId="3" borderId="14" xfId="5" applyFont="1" applyFill="1" applyBorder="1" applyAlignment="1">
      <alignment horizontal="center" vertical="center" wrapText="1"/>
    </xf>
    <xf numFmtId="0" fontId="1" fillId="0" borderId="25" xfId="12" applyBorder="1" applyAlignment="1">
      <alignment horizontal="center" vertical="center" wrapText="1"/>
    </xf>
    <xf numFmtId="0" fontId="1" fillId="0" borderId="18" xfId="12" applyBorder="1" applyAlignment="1">
      <alignment horizontal="center" vertical="center" wrapText="1"/>
    </xf>
    <xf numFmtId="0" fontId="19" fillId="0" borderId="26" xfId="12" applyFont="1" applyBorder="1" applyAlignment="1">
      <alignment horizontal="center" vertical="center"/>
    </xf>
    <xf numFmtId="0" fontId="20" fillId="0" borderId="0" xfId="12" applyFont="1" applyAlignment="1">
      <alignment horizontal="center" vertical="center"/>
    </xf>
    <xf numFmtId="0" fontId="20" fillId="0" borderId="20" xfId="12" applyFont="1" applyBorder="1" applyAlignment="1">
      <alignment horizontal="center" vertical="center"/>
    </xf>
    <xf numFmtId="0" fontId="10" fillId="2" borderId="14" xfId="5" applyFont="1" applyFill="1" applyBorder="1" applyAlignment="1">
      <alignment horizontal="center" vertical="center" wrapText="1"/>
    </xf>
    <xf numFmtId="0" fontId="1" fillId="0" borderId="18" xfId="12" applyBorder="1"/>
    <xf numFmtId="14" fontId="8" fillId="0" borderId="14" xfId="5" applyNumberFormat="1" applyFont="1" applyBorder="1" applyAlignment="1" applyProtection="1">
      <alignment horizontal="center" vertical="center"/>
      <protection locked="0"/>
    </xf>
    <xf numFmtId="0" fontId="21" fillId="0" borderId="25" xfId="12" applyFont="1" applyBorder="1" applyAlignment="1">
      <alignment horizontal="center" vertical="center"/>
    </xf>
    <xf numFmtId="0" fontId="21" fillId="0" borderId="18" xfId="12" applyFont="1" applyBorder="1" applyAlignment="1">
      <alignment horizontal="center" vertical="center"/>
    </xf>
    <xf numFmtId="0" fontId="14" fillId="0" borderId="16" xfId="5" applyFont="1" applyBorder="1" applyAlignment="1" applyProtection="1">
      <alignment horizontal="center" vertical="center" wrapText="1"/>
      <protection locked="0"/>
    </xf>
    <xf numFmtId="0" fontId="14" fillId="0" borderId="5" xfId="5" applyFont="1" applyBorder="1" applyAlignment="1" applyProtection="1">
      <alignment horizontal="center" vertical="center" wrapText="1"/>
      <protection locked="0"/>
    </xf>
    <xf numFmtId="0" fontId="13" fillId="0" borderId="26" xfId="5" applyFont="1" applyBorder="1" applyAlignment="1">
      <alignment horizontal="center" wrapText="1"/>
    </xf>
    <xf numFmtId="0" fontId="13" fillId="0" borderId="0" xfId="5" applyFont="1" applyAlignment="1">
      <alignment horizontal="center" wrapText="1"/>
    </xf>
    <xf numFmtId="0" fontId="13" fillId="0" borderId="20" xfId="5" applyFont="1" applyBorder="1" applyAlignment="1">
      <alignment horizontal="center" wrapText="1"/>
    </xf>
    <xf numFmtId="0" fontId="8" fillId="0" borderId="5" xfId="5" applyFont="1" applyBorder="1" applyAlignment="1" applyProtection="1">
      <alignment horizontal="center" vertical="center" wrapText="1"/>
      <protection locked="0"/>
    </xf>
    <xf numFmtId="0" fontId="13" fillId="0" borderId="5" xfId="5" applyFont="1" applyBorder="1" applyAlignment="1">
      <alignment horizontal="center" wrapText="1"/>
    </xf>
    <xf numFmtId="0" fontId="1" fillId="0" borderId="5" xfId="12" applyBorder="1"/>
    <xf numFmtId="0" fontId="1" fillId="0" borderId="39" xfId="12" applyBorder="1"/>
    <xf numFmtId="0" fontId="2" fillId="0" borderId="5" xfId="10" applyBorder="1"/>
    <xf numFmtId="0" fontId="2" fillId="0" borderId="39" xfId="10" applyBorder="1"/>
    <xf numFmtId="0" fontId="13" fillId="0" borderId="39" xfId="5" applyFont="1" applyBorder="1" applyAlignment="1">
      <alignment horizontal="center" wrapText="1"/>
    </xf>
    <xf numFmtId="0" fontId="8" fillId="0" borderId="23" xfId="5" applyFont="1" applyBorder="1" applyAlignment="1" applyProtection="1">
      <alignment horizontal="center" vertical="center" wrapText="1"/>
      <protection locked="0"/>
    </xf>
    <xf numFmtId="0" fontId="8" fillId="0" borderId="30" xfId="5" applyFont="1" applyBorder="1" applyAlignment="1" applyProtection="1">
      <alignment horizontal="center" vertical="center" wrapText="1"/>
      <protection locked="0"/>
    </xf>
    <xf numFmtId="0" fontId="8" fillId="0" borderId="21" xfId="5" applyFont="1" applyBorder="1" applyAlignment="1" applyProtection="1">
      <alignment horizontal="center" vertical="center" wrapText="1"/>
      <protection locked="0"/>
    </xf>
    <xf numFmtId="0" fontId="8" fillId="0" borderId="1" xfId="5" applyFont="1" applyBorder="1" applyAlignment="1" applyProtection="1">
      <alignment horizontal="center" vertical="center" wrapText="1"/>
      <protection locked="0"/>
    </xf>
    <xf numFmtId="0" fontId="8" fillId="0" borderId="15" xfId="5" applyFont="1" applyBorder="1" applyAlignment="1" applyProtection="1">
      <alignment horizontal="center" vertical="center" wrapText="1"/>
      <protection locked="0"/>
    </xf>
    <xf numFmtId="0" fontId="8" fillId="0" borderId="19" xfId="5" applyFont="1" applyBorder="1" applyAlignment="1" applyProtection="1">
      <alignment horizontal="center" vertical="center" wrapText="1"/>
      <protection locked="0"/>
    </xf>
    <xf numFmtId="0" fontId="9" fillId="0" borderId="0" xfId="5" applyFont="1" applyAlignment="1">
      <alignment horizontal="center"/>
    </xf>
    <xf numFmtId="0" fontId="14" fillId="0" borderId="23" xfId="5" applyFont="1" applyBorder="1" applyAlignment="1" applyProtection="1">
      <alignment horizontal="center" vertical="center" wrapText="1"/>
      <protection locked="0"/>
    </xf>
    <xf numFmtId="0" fontId="14" fillId="0" borderId="30" xfId="5" applyFont="1" applyBorder="1" applyAlignment="1" applyProtection="1">
      <alignment horizontal="center" vertical="center" wrapText="1"/>
      <protection locked="0"/>
    </xf>
    <xf numFmtId="0" fontId="14" fillId="0" borderId="21" xfId="5" applyFont="1" applyBorder="1" applyAlignment="1" applyProtection="1">
      <alignment horizontal="center" vertical="center" wrapText="1"/>
      <protection locked="0"/>
    </xf>
    <xf numFmtId="0" fontId="14" fillId="0" borderId="1" xfId="5" applyFont="1" applyBorder="1" applyAlignment="1" applyProtection="1">
      <alignment horizontal="center" vertical="center" wrapText="1"/>
      <protection locked="0"/>
    </xf>
    <xf numFmtId="0" fontId="14" fillId="0" borderId="15" xfId="5" applyFont="1" applyBorder="1" applyAlignment="1" applyProtection="1">
      <alignment horizontal="center" vertical="center" wrapText="1"/>
      <protection locked="0"/>
    </xf>
    <xf numFmtId="0" fontId="14" fillId="0" borderId="19" xfId="5" applyFont="1" applyBorder="1" applyAlignment="1" applyProtection="1">
      <alignment horizontal="center" vertical="center" wrapText="1"/>
      <protection locked="0"/>
    </xf>
    <xf numFmtId="0" fontId="13" fillId="0" borderId="16" xfId="5" applyFont="1" applyBorder="1" applyAlignment="1">
      <alignment horizontal="center" wrapText="1"/>
    </xf>
    <xf numFmtId="0" fontId="10" fillId="2" borderId="27" xfId="5" applyFont="1" applyFill="1" applyBorder="1" applyAlignment="1">
      <alignment horizontal="center"/>
    </xf>
    <xf numFmtId="0" fontId="10" fillId="2" borderId="28" xfId="5" applyFont="1" applyFill="1" applyBorder="1" applyAlignment="1">
      <alignment horizontal="center"/>
    </xf>
    <xf numFmtId="0" fontId="10" fillId="2" borderId="29" xfId="5" applyFont="1" applyFill="1" applyBorder="1" applyAlignment="1">
      <alignment horizontal="center"/>
    </xf>
    <xf numFmtId="0" fontId="8" fillId="0" borderId="25" xfId="5" applyFont="1" applyBorder="1" applyAlignment="1" applyProtection="1">
      <alignment horizontal="center" vertical="center"/>
      <protection locked="0"/>
    </xf>
    <xf numFmtId="0" fontId="8" fillId="0" borderId="18" xfId="5" applyFont="1" applyBorder="1" applyAlignment="1" applyProtection="1">
      <alignment horizontal="center" vertical="center"/>
      <protection locked="0"/>
    </xf>
    <xf numFmtId="0" fontId="11" fillId="2" borderId="5" xfId="5" applyFont="1" applyFill="1" applyBorder="1" applyAlignment="1">
      <alignment horizontal="center" vertical="center" wrapText="1"/>
    </xf>
    <xf numFmtId="0" fontId="10" fillId="2" borderId="33" xfId="5" applyFont="1" applyFill="1" applyBorder="1" applyAlignment="1">
      <alignment horizontal="center" vertical="center"/>
    </xf>
    <xf numFmtId="0" fontId="8" fillId="0" borderId="5" xfId="3" applyFont="1" applyBorder="1" applyAlignment="1">
      <alignment horizontal="center"/>
    </xf>
    <xf numFmtId="44" fontId="6" fillId="0" borderId="23" xfId="9" applyFont="1" applyBorder="1" applyAlignment="1">
      <alignment horizontal="center" vertical="center"/>
    </xf>
    <xf numFmtId="44" fontId="6" fillId="0" borderId="30" xfId="9" applyFont="1" applyBorder="1" applyAlignment="1">
      <alignment horizontal="center" vertical="center"/>
    </xf>
    <xf numFmtId="44" fontId="6" fillId="0" borderId="26" xfId="9" applyFont="1" applyBorder="1" applyAlignment="1">
      <alignment horizontal="center" vertical="center"/>
    </xf>
    <xf numFmtId="44" fontId="6" fillId="0" borderId="0" xfId="9" applyFont="1" applyBorder="1" applyAlignment="1">
      <alignment horizontal="center" vertical="center"/>
    </xf>
    <xf numFmtId="44" fontId="6" fillId="0" borderId="1" xfId="9" applyFont="1" applyBorder="1" applyAlignment="1">
      <alignment horizontal="center" vertical="center"/>
    </xf>
    <xf numFmtId="44" fontId="6" fillId="0" borderId="15" xfId="9" applyFont="1" applyBorder="1" applyAlignment="1">
      <alignment horizontal="center" vertical="center"/>
    </xf>
    <xf numFmtId="0" fontId="8" fillId="0" borderId="14" xfId="3" applyFont="1" applyBorder="1" applyAlignment="1">
      <alignment horizontal="left"/>
    </xf>
    <xf numFmtId="0" fontId="8" fillId="0" borderId="25" xfId="3" applyFont="1" applyBorder="1" applyAlignment="1">
      <alignment horizontal="left"/>
    </xf>
    <xf numFmtId="0" fontId="8" fillId="0" borderId="18" xfId="3" applyFont="1" applyBorder="1" applyAlignment="1">
      <alignment horizontal="left"/>
    </xf>
    <xf numFmtId="0" fontId="16" fillId="0" borderId="25" xfId="10" applyFont="1" applyBorder="1" applyAlignment="1">
      <alignment horizontal="center"/>
    </xf>
    <xf numFmtId="0" fontId="2" fillId="0" borderId="25" xfId="10" applyBorder="1"/>
    <xf numFmtId="0" fontId="2" fillId="0" borderId="18" xfId="10" applyBorder="1"/>
    <xf numFmtId="0" fontId="10" fillId="2" borderId="32" xfId="5" applyFont="1" applyFill="1" applyBorder="1" applyAlignment="1">
      <alignment horizontal="left" vertical="center" wrapText="1"/>
    </xf>
    <xf numFmtId="0" fontId="10" fillId="2" borderId="33" xfId="5" applyFont="1" applyFill="1" applyBorder="1" applyAlignment="1">
      <alignment horizontal="left" vertical="center" wrapText="1"/>
    </xf>
    <xf numFmtId="0" fontId="13" fillId="0" borderId="14" xfId="5" applyFont="1" applyBorder="1" applyAlignment="1">
      <alignment horizontal="center" wrapText="1"/>
    </xf>
    <xf numFmtId="0" fontId="2" fillId="0" borderId="0" xfId="10"/>
    <xf numFmtId="0" fontId="2" fillId="0" borderId="15" xfId="10" applyBorder="1"/>
    <xf numFmtId="0" fontId="6" fillId="2" borderId="0" xfId="5" applyFont="1" applyFill="1" applyAlignment="1">
      <alignment horizontal="center"/>
    </xf>
  </cellXfs>
  <cellStyles count="13">
    <cellStyle name="Currency" xfId="9" builtinId="4"/>
    <cellStyle name="Dezimal [0]_Änderungsblatt" xfId="1" xr:uid="{00000000-0005-0000-0000-000000000000}"/>
    <cellStyle name="Dezimal_Änderungsblatt" xfId="2" xr:uid="{00000000-0005-0000-0000-000001000000}"/>
    <cellStyle name="Normal" xfId="0" builtinId="0"/>
    <cellStyle name="Normal_M.03.01.00.03_Master_File" xfId="3" xr:uid="{00000000-0005-0000-0000-000003000000}"/>
    <cellStyle name="Normale_COVER " xfId="4" xr:uid="{00000000-0005-0000-0000-000004000000}"/>
    <cellStyle name="Normalny 2" xfId="10" xr:uid="{00000000-0005-0000-0000-000006000000}"/>
    <cellStyle name="Normalny 3" xfId="12" xr:uid="{00000000-0005-0000-0000-000007000000}"/>
    <cellStyle name="Normalny_FJ 09.14 - Dzienny rejest braków wtryskarek" xfId="5" xr:uid="{00000000-0005-0000-0000-000008000000}"/>
    <cellStyle name="Standard_Änderungsblatt" xfId="6" xr:uid="{00000000-0005-0000-0000-000009000000}"/>
    <cellStyle name="Währung [0]_Änderungsblatt" xfId="7" xr:uid="{00000000-0005-0000-0000-00000A000000}"/>
    <cellStyle name="Währung_Änderungsblatt" xfId="8" xr:uid="{00000000-0005-0000-0000-00000B000000}"/>
    <cellStyle name="Walutowy 2" xfId="11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182336</xdr:colOff>
      <xdr:row>0</xdr:row>
      <xdr:rowOff>47625</xdr:rowOff>
    </xdr:from>
    <xdr:ext cx="1000125" cy="595993"/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5657" y="47625"/>
          <a:ext cx="1000125" cy="595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79</xdr:col>
          <xdr:colOff>31750</xdr:colOff>
          <xdr:row>0</xdr:row>
          <xdr:rowOff>6350</xdr:rowOff>
        </xdr:from>
        <xdr:to>
          <xdr:col>80</xdr:col>
          <xdr:colOff>69850</xdr:colOff>
          <xdr:row>1</xdr:row>
          <xdr:rowOff>0</xdr:rowOff>
        </xdr:to>
        <xdr:sp macro="" textlink="">
          <xdr:nvSpPr>
            <xdr:cNvPr id="34817" name="Button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0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l-P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Czyść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38100</xdr:rowOff>
    </xdr:from>
    <xdr:to>
      <xdr:col>1</xdr:col>
      <xdr:colOff>504825</xdr:colOff>
      <xdr:row>2</xdr:row>
      <xdr:rowOff>161925</xdr:rowOff>
    </xdr:to>
    <xdr:pic>
      <xdr:nvPicPr>
        <xdr:cNvPr id="2" name="Picture 3" descr="TSS.b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38100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101600</xdr:colOff>
          <xdr:row>0</xdr:row>
          <xdr:rowOff>31750</xdr:rowOff>
        </xdr:from>
        <xdr:to>
          <xdr:col>78</xdr:col>
          <xdr:colOff>406400</xdr:colOff>
          <xdr:row>2</xdr:row>
          <xdr:rowOff>31750</xdr:rowOff>
        </xdr:to>
        <xdr:sp macro="" textlink="">
          <xdr:nvSpPr>
            <xdr:cNvPr id="43009" name="Button 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:a16="http://schemas.microsoft.com/office/drawing/2014/main" id="{00000000-0008-0000-0100-00000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Czyść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7"/>
  <sheetViews>
    <sheetView zoomScale="130" zoomScaleNormal="13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ColWidth="9.08984375" defaultRowHeight="12.5"/>
  <cols>
    <col min="1" max="1" width="3.36328125" style="1" customWidth="1"/>
    <col min="2" max="2" width="10.6328125" style="55" customWidth="1"/>
    <col min="3" max="3" width="12.08984375" style="1" customWidth="1"/>
    <col min="4" max="4" width="11" style="1" customWidth="1"/>
    <col min="5" max="5" width="6.6328125" style="1" customWidth="1"/>
    <col min="6" max="6" width="6.36328125" style="1" customWidth="1"/>
    <col min="7" max="7" width="6.54296875" style="1" customWidth="1"/>
    <col min="8" max="31" width="3.54296875" style="1" customWidth="1"/>
    <col min="32" max="32" width="4" style="1" customWidth="1"/>
    <col min="33" max="33" width="3.90625" style="1" customWidth="1"/>
    <col min="34" max="80" width="12.08984375" style="1" customWidth="1"/>
    <col min="81" max="16384" width="9.08984375" style="1"/>
  </cols>
  <sheetData>
    <row r="1" spans="1:79" ht="18" customHeight="1">
      <c r="A1" s="129"/>
      <c r="B1" s="129"/>
      <c r="C1" s="130" t="s">
        <v>1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6" t="s">
        <v>2</v>
      </c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8"/>
      <c r="AH1" s="1" t="s">
        <v>5</v>
      </c>
      <c r="AI1" s="1" t="s">
        <v>44</v>
      </c>
      <c r="AJ1" s="1" t="s">
        <v>32</v>
      </c>
    </row>
    <row r="2" spans="1:79" ht="18" customHeight="1">
      <c r="A2" s="129"/>
      <c r="B2" s="129"/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6" t="s">
        <v>77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8"/>
      <c r="AH2" s="1" t="s">
        <v>6</v>
      </c>
      <c r="AI2" s="1" t="s">
        <v>45</v>
      </c>
      <c r="AJ2" s="1" t="s">
        <v>31</v>
      </c>
    </row>
    <row r="3" spans="1:79" ht="18" customHeight="1">
      <c r="A3" s="129"/>
      <c r="B3" s="129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 t="s">
        <v>0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8"/>
      <c r="AH3" s="1" t="s">
        <v>7</v>
      </c>
      <c r="AJ3" s="1" t="s">
        <v>34</v>
      </c>
    </row>
    <row r="4" spans="1:79" ht="5.25" customHeight="1">
      <c r="AJ4" s="1" t="s">
        <v>46</v>
      </c>
    </row>
    <row r="5" spans="1:79" ht="27.75" customHeight="1">
      <c r="A5" s="27"/>
      <c r="B5" s="93" t="s">
        <v>45</v>
      </c>
      <c r="C5" s="125"/>
      <c r="D5" s="125"/>
      <c r="E5" s="126"/>
      <c r="F5" s="19"/>
      <c r="G5" s="6" t="s">
        <v>42</v>
      </c>
      <c r="H5" s="93">
        <f ca="1">TODAY()</f>
        <v>46150</v>
      </c>
      <c r="I5" s="125"/>
      <c r="J5" s="125"/>
      <c r="K5" s="125"/>
      <c r="L5" s="125"/>
      <c r="M5" s="125"/>
      <c r="N5" s="126"/>
      <c r="O5" s="29"/>
      <c r="P5" s="29"/>
      <c r="Q5" s="29"/>
      <c r="S5" s="127" t="s">
        <v>34</v>
      </c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</row>
    <row r="6" spans="1:79" ht="6" customHeight="1" thickBot="1"/>
    <row r="7" spans="1:79" s="2" customFormat="1" ht="21.75" customHeight="1">
      <c r="A7" s="69" t="s">
        <v>7</v>
      </c>
      <c r="B7" s="142" t="s">
        <v>40</v>
      </c>
      <c r="C7" s="69" t="s">
        <v>47</v>
      </c>
      <c r="D7" s="69" t="s">
        <v>48</v>
      </c>
      <c r="E7" s="69" t="s">
        <v>29</v>
      </c>
      <c r="F7" s="69" t="s">
        <v>3</v>
      </c>
      <c r="G7" s="69" t="s">
        <v>30</v>
      </c>
      <c r="H7" s="75" t="s">
        <v>4</v>
      </c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7"/>
      <c r="AE7" s="78" t="s">
        <v>20</v>
      </c>
      <c r="AF7" s="79"/>
      <c r="AG7" s="80"/>
    </row>
    <row r="8" spans="1:79" s="2" customFormat="1" ht="20.25" customHeight="1" thickBot="1">
      <c r="A8" s="70"/>
      <c r="B8" s="143"/>
      <c r="C8" s="70"/>
      <c r="D8" s="70"/>
      <c r="E8" s="70"/>
      <c r="F8" s="70"/>
      <c r="G8" s="128"/>
      <c r="H8" s="3" t="s">
        <v>5</v>
      </c>
      <c r="I8" s="4" t="s">
        <v>6</v>
      </c>
      <c r="J8" s="4" t="s">
        <v>7</v>
      </c>
      <c r="K8" s="4" t="s">
        <v>8</v>
      </c>
      <c r="L8" s="4" t="s">
        <v>9</v>
      </c>
      <c r="M8" s="4" t="s">
        <v>10</v>
      </c>
      <c r="N8" s="4" t="s">
        <v>11</v>
      </c>
      <c r="O8" s="5" t="s">
        <v>12</v>
      </c>
      <c r="P8" s="5" t="s">
        <v>13</v>
      </c>
      <c r="Q8" s="5" t="s">
        <v>14</v>
      </c>
      <c r="R8" s="5" t="s">
        <v>15</v>
      </c>
      <c r="S8" s="5" t="s">
        <v>16</v>
      </c>
      <c r="T8" s="5" t="s">
        <v>17</v>
      </c>
      <c r="U8" s="5" t="s">
        <v>18</v>
      </c>
      <c r="V8" s="5" t="s">
        <v>19</v>
      </c>
      <c r="W8" s="5" t="s">
        <v>38</v>
      </c>
      <c r="X8" s="5" t="s">
        <v>39</v>
      </c>
      <c r="Y8" s="24" t="s">
        <v>43</v>
      </c>
      <c r="Z8" s="5" t="s">
        <v>50</v>
      </c>
      <c r="AA8" s="5" t="s">
        <v>51</v>
      </c>
      <c r="AB8" s="5" t="s">
        <v>74</v>
      </c>
      <c r="AC8" s="5" t="s">
        <v>75</v>
      </c>
      <c r="AD8" s="24" t="s">
        <v>76</v>
      </c>
      <c r="AE8" s="81"/>
      <c r="AF8" s="82"/>
      <c r="AG8" s="83"/>
    </row>
    <row r="9" spans="1:79" s="2" customFormat="1" ht="15.75" customHeight="1" thickBot="1">
      <c r="A9" s="40"/>
      <c r="B9" s="56"/>
      <c r="C9" s="56"/>
      <c r="D9" s="47"/>
      <c r="E9" s="40" t="s">
        <v>78</v>
      </c>
      <c r="F9" s="44"/>
      <c r="G9" s="43">
        <f>SUM(H9:AD9)</f>
        <v>0</v>
      </c>
      <c r="H9" s="42"/>
      <c r="I9" s="41"/>
      <c r="J9" s="41"/>
      <c r="K9" s="33"/>
      <c r="L9" s="33"/>
      <c r="M9" s="33"/>
      <c r="N9" s="33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96"/>
      <c r="AF9" s="96"/>
      <c r="AG9" s="96"/>
      <c r="AH9" s="30"/>
      <c r="AI9" s="30" t="str">
        <f>CONCATENATE(IF(I9="","",$I$8),I9)</f>
        <v/>
      </c>
      <c r="AJ9" s="30" t="str">
        <f>CONCATENATE(IF(J9="","",$J$8),J9)</f>
        <v/>
      </c>
      <c r="AK9" s="30" t="str">
        <f>CONCATENATE(IF(K9="","",$K$8),K9)</f>
        <v/>
      </c>
      <c r="AL9" s="30" t="str">
        <f>CONCATENATE(IF(L9="","",$L$8),L9)</f>
        <v/>
      </c>
      <c r="AM9" s="30" t="str">
        <f>CONCATENATE(IF(M9="","",$M$8),M9)</f>
        <v/>
      </c>
      <c r="AN9" s="30" t="str">
        <f>CONCATENATE(IF(N9="","",$N$8),N9)</f>
        <v/>
      </c>
      <c r="AO9" s="30" t="str">
        <f>CONCATENATE(IF(R9="","",$R$8),R9)</f>
        <v/>
      </c>
      <c r="AP9" s="30" t="str">
        <f>CONCATENATE(IF(S9="","",$S$8),S9)</f>
        <v/>
      </c>
      <c r="AQ9" s="30" t="str">
        <f>CONCATENATE(IF(T9="","",$T$8),T9)</f>
        <v/>
      </c>
      <c r="AR9" s="30" t="str">
        <f>CONCATENATE(IF(U9="","",$U$8),U9)</f>
        <v/>
      </c>
      <c r="AS9" s="30" t="str">
        <f>CONCATENATE(IF(V9="","",$V$8),V9)</f>
        <v/>
      </c>
      <c r="AT9" s="30" t="str">
        <f>CONCATENATE(IF(W9="","",$W$8),W9)</f>
        <v/>
      </c>
      <c r="AU9" s="30" t="str">
        <f>CONCATENATE(IF(X9="","",$X$8),X9)</f>
        <v/>
      </c>
      <c r="AV9" s="30" t="str">
        <f>CONCATENATE(IF(Y9="","",$Y$8),Y9)</f>
        <v/>
      </c>
      <c r="AW9" s="30" t="str">
        <f>CONCATENATE(IF(Z9="","",$Z$8),Z9)</f>
        <v/>
      </c>
      <c r="AX9" s="30" t="str">
        <f>CONCATENATE(IF(AA9="","",$AA$8),AA9)</f>
        <v/>
      </c>
      <c r="AY9" s="30" t="str">
        <f>CONCATENATE(IF(AB9="","",AB$8),AB9)</f>
        <v/>
      </c>
      <c r="AZ9" s="30" t="str">
        <f>CONCATENATE(IF(AC9="","",AC$8),AC9)</f>
        <v/>
      </c>
      <c r="BA9" s="30" t="str">
        <f>CONCATENATE(IF(AD9="","",$AD$8),AD9)</f>
        <v/>
      </c>
      <c r="BB9" s="26" t="b">
        <f t="shared" ref="BB9:BB36" si="0">AND(BC9,BD9,BE9,BF9,BG9,BH9,BI9,BJ9,BK9,BL9,BM9,BN9,BO9,BP9,BQ9,BR9,BS9,BT9,BU9,BV9,BW9,BX9,BY9,BZ9,CA9)</f>
        <v>1</v>
      </c>
      <c r="BC9" s="23" t="b">
        <f>ISERROR(SEARCH("`",B9))</f>
        <v>1</v>
      </c>
      <c r="BD9" s="23" t="b">
        <f>ISERROR(SEARCH("&lt;",B9))</f>
        <v>1</v>
      </c>
      <c r="BE9" s="23" t="b">
        <f>ISERROR(SEARCH("&gt;",B9))</f>
        <v>1</v>
      </c>
      <c r="BF9" s="23" t="b">
        <f>ISERROR(SEARCH(":",B9))</f>
        <v>1</v>
      </c>
      <c r="BG9" s="23" t="b">
        <f>ISERROR(SEARCH(",",B9))</f>
        <v>1</v>
      </c>
      <c r="BH9" s="23" t="b">
        <f>ISERROR(SEARCH(";",B9))</f>
        <v>1</v>
      </c>
      <c r="BI9" s="23" t="b">
        <f>ISERROR(SEARCH("|",B9))</f>
        <v>1</v>
      </c>
      <c r="BJ9" s="23" t="b">
        <f>ISERROR(SEARCH("\",B9))</f>
        <v>1</v>
      </c>
      <c r="BK9" s="23" t="b">
        <f>ISERROR(SEARCH("[",B9))</f>
        <v>1</v>
      </c>
      <c r="BL9" s="23" t="b">
        <f>ISERROR(SEARCH("]",B9))</f>
        <v>1</v>
      </c>
      <c r="BM9" s="23" t="b">
        <f>ISERROR(SEARCH("{",B9))</f>
        <v>1</v>
      </c>
      <c r="BN9" s="23" t="b">
        <f>ISERROR(SEARCH("}",B9))</f>
        <v>1</v>
      </c>
      <c r="BO9" s="23" t="b">
        <f>ISERROR(SEARCH("_",B9))</f>
        <v>1</v>
      </c>
      <c r="BP9" s="23" t="b">
        <f>ISERROR(SEARCH("(",B9))</f>
        <v>1</v>
      </c>
      <c r="BQ9" s="23" t="b">
        <f>ISERROR(SEARCH(")",B9))</f>
        <v>1</v>
      </c>
      <c r="BR9" s="23" t="b">
        <f>ISERROR(SEARCH("&amp;",B9))</f>
        <v>1</v>
      </c>
      <c r="BS9" s="23" t="b">
        <f>ISERROR(SEARCH("^",B9))</f>
        <v>1</v>
      </c>
      <c r="BT9" s="23" t="b">
        <f>ISERROR(SEARCH("#",B9))</f>
        <v>1</v>
      </c>
      <c r="BU9" s="23" t="b">
        <f>ISERROR(SEARCH("@",B9))</f>
        <v>1</v>
      </c>
      <c r="BV9" s="23" t="b">
        <f>ISERROR(SEARCH("!",B9))</f>
        <v>1</v>
      </c>
      <c r="BW9" s="23" t="b">
        <f>ISERROR(SEARCH("~?",B9))</f>
        <v>1</v>
      </c>
      <c r="BX9" s="23" t="b">
        <f>ISERROR(SEARCH("~*",B9))</f>
        <v>1</v>
      </c>
      <c r="BY9" s="23" t="b">
        <f>ISERROR(SEARCH("=",B9))</f>
        <v>1</v>
      </c>
      <c r="BZ9" s="23" t="b">
        <f>ISERROR(SEARCH("""",B9))</f>
        <v>1</v>
      </c>
      <c r="CA9" s="23" t="b">
        <f>ISERROR(SEARCH(" ",B9))</f>
        <v>1</v>
      </c>
    </row>
    <row r="10" spans="1:79" s="2" customFormat="1" ht="45.75" customHeight="1" thickBot="1">
      <c r="A10" s="98" t="str">
        <f>CONCATENATE("*",B9,"$",D9-(DATE(YEAR(D9),1,1)-1),A9,F9,AH9,AI9,AJ9,AK9,AL9,AM9,AN9,AO9,AP9,AQ9,AR9,AS9,AT9,AU9,AV9,AW9,AX9,AY9,AZ9,BA9,"*")</f>
        <v>*$0*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139" t="str">
        <f>CONCATENATE("*",C9,"*")</f>
        <v>**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1"/>
      <c r="AE10" s="97"/>
      <c r="AF10" s="97"/>
      <c r="AG10" s="97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26" t="b">
        <f t="shared" si="0"/>
        <v>1</v>
      </c>
      <c r="BC10" s="22" t="b">
        <f>ISERROR(SEARCH("`",D9))</f>
        <v>1</v>
      </c>
      <c r="BD10" s="22" t="b">
        <f>ISERROR(SEARCH("&lt;",D9))</f>
        <v>1</v>
      </c>
      <c r="BE10" s="22" t="b">
        <f>ISERROR(SEARCH("&gt;",D9))</f>
        <v>1</v>
      </c>
      <c r="BF10" s="22" t="b">
        <f>ISERROR(SEARCH(":",D9))</f>
        <v>1</v>
      </c>
      <c r="BG10" s="22" t="b">
        <f>ISERROR(SEARCH(",",D9))</f>
        <v>1</v>
      </c>
      <c r="BH10" s="22" t="b">
        <f>ISERROR(SEARCH(";",D9))</f>
        <v>1</v>
      </c>
      <c r="BI10" s="22" t="b">
        <f>ISERROR(SEARCH("|",D9))</f>
        <v>1</v>
      </c>
      <c r="BJ10" s="22" t="b">
        <f>ISERROR(SEARCH("\",D9))</f>
        <v>1</v>
      </c>
      <c r="BK10" s="22" t="b">
        <f>ISERROR(SEARCH("[",D9))</f>
        <v>1</v>
      </c>
      <c r="BL10" s="22" t="b">
        <f>ISERROR(SEARCH("]",D9))</f>
        <v>1</v>
      </c>
      <c r="BM10" s="22" t="b">
        <f>ISERROR(SEARCH("{",D9))</f>
        <v>1</v>
      </c>
      <c r="BN10" s="22" t="b">
        <f>ISERROR(SEARCH("}",D9))</f>
        <v>1</v>
      </c>
      <c r="BO10" s="22" t="b">
        <f>ISERROR(SEARCH("_",D9))</f>
        <v>1</v>
      </c>
      <c r="BP10" s="22" t="b">
        <f>ISERROR(SEARCH("(",D9))</f>
        <v>1</v>
      </c>
      <c r="BQ10" s="22" t="b">
        <f>ISERROR(SEARCH(")",D9))</f>
        <v>1</v>
      </c>
      <c r="BR10" s="22" t="b">
        <f>ISERROR(SEARCH("&amp;",D9))</f>
        <v>1</v>
      </c>
      <c r="BS10" s="22" t="b">
        <f>ISERROR(SEARCH("^",D9))</f>
        <v>1</v>
      </c>
      <c r="BT10" s="22" t="b">
        <f>ISERROR(SEARCH("#",D9))</f>
        <v>1</v>
      </c>
      <c r="BU10" s="22" t="b">
        <f>ISERROR(SEARCH("@",D9))</f>
        <v>1</v>
      </c>
      <c r="BV10" s="22" t="b">
        <f>ISERROR(SEARCH("!",D9))</f>
        <v>1</v>
      </c>
      <c r="BW10" s="22" t="b">
        <f>ISERROR(SEARCH("~?",D9))</f>
        <v>1</v>
      </c>
      <c r="BX10" s="22" t="b">
        <f>ISERROR(SEARCH("~*",D9))</f>
        <v>1</v>
      </c>
      <c r="BY10" s="22" t="b">
        <f>ISERROR(SEARCH("=",D9))</f>
        <v>1</v>
      </c>
      <c r="BZ10" s="22" t="b">
        <f>ISERROR(SEARCH("""",D9))</f>
        <v>1</v>
      </c>
      <c r="CA10" s="22" t="b">
        <f>ISERROR(SEARCH(" ",D9))</f>
        <v>1</v>
      </c>
    </row>
    <row r="11" spans="1:79" s="2" customFormat="1" ht="15.75" customHeight="1" thickBot="1">
      <c r="A11" s="40"/>
      <c r="B11" s="56"/>
      <c r="C11" s="56"/>
      <c r="D11" s="47"/>
      <c r="E11" s="40" t="s">
        <v>78</v>
      </c>
      <c r="F11" s="44"/>
      <c r="G11" s="43">
        <f>SUM(H11:AD11)</f>
        <v>0</v>
      </c>
      <c r="H11" s="45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101"/>
      <c r="AF11" s="101"/>
      <c r="AG11" s="101"/>
      <c r="AH11" s="30"/>
      <c r="AI11" s="30" t="str">
        <f>CONCATENATE(IF(I11="","",$I$8),I11)</f>
        <v/>
      </c>
      <c r="AJ11" s="30" t="str">
        <f>CONCATENATE(IF(J11="","",$J$8),J11)</f>
        <v/>
      </c>
      <c r="AK11" s="30" t="str">
        <f>CONCATENATE(IF(K11="","",$K$8),K11)</f>
        <v/>
      </c>
      <c r="AL11" s="30" t="str">
        <f>CONCATENATE(IF(L11="","",$L$8),L11)</f>
        <v/>
      </c>
      <c r="AM11" s="30" t="str">
        <f>CONCATENATE(IF(M11="","",$M$8),M11)</f>
        <v/>
      </c>
      <c r="AN11" s="30" t="str">
        <f>CONCATENATE(IF(N11="","",$N$8),N11)</f>
        <v/>
      </c>
      <c r="AO11" s="30" t="str">
        <f>CONCATENATE(IF(R11="","",$R$8),R11)</f>
        <v/>
      </c>
      <c r="AP11" s="30" t="str">
        <f>CONCATENATE(IF(S11="","",$S$8),S11)</f>
        <v/>
      </c>
      <c r="AQ11" s="30" t="str">
        <f>CONCATENATE(IF(T11="","",$T$8),T11)</f>
        <v/>
      </c>
      <c r="AR11" s="30" t="str">
        <f>CONCATENATE(IF(U11="","",$U$8),U11)</f>
        <v/>
      </c>
      <c r="AS11" s="30" t="str">
        <f>CONCATENATE(IF(V11="","",$V$8),V11)</f>
        <v/>
      </c>
      <c r="AT11" s="30" t="str">
        <f>CONCATENATE(IF(W11="","",$W$8),W11)</f>
        <v/>
      </c>
      <c r="AU11" s="30" t="str">
        <f>CONCATENATE(IF(X11="","",$X$8),X11)</f>
        <v/>
      </c>
      <c r="AV11" s="30" t="str">
        <f>CONCATENATE(IF(Y11="","",$Y$8),Y11)</f>
        <v/>
      </c>
      <c r="AW11" s="30" t="str">
        <f>CONCATENATE(IF(Z11="","",$Z$8),Z11)</f>
        <v/>
      </c>
      <c r="AX11" s="30" t="str">
        <f>CONCATENATE(IF(AA11="","",$AA$8),AA11)</f>
        <v/>
      </c>
      <c r="AY11" s="30" t="str">
        <f>CONCATENATE(IF(AB11="","",AB$8),AB11)</f>
        <v/>
      </c>
      <c r="AZ11" s="30" t="str">
        <f>CONCATENATE(IF(AC11="","",AC$8),AC11)</f>
        <v/>
      </c>
      <c r="BA11" s="30" t="str">
        <f>CONCATENATE(IF(AD11="","",$AD$8),AD11)</f>
        <v/>
      </c>
      <c r="BB11" s="26" t="b">
        <f t="shared" si="0"/>
        <v>1</v>
      </c>
      <c r="BC11" s="23" t="b">
        <f>ISERROR(SEARCH("`",B11))</f>
        <v>1</v>
      </c>
      <c r="BD11" s="23" t="b">
        <f>ISERROR(SEARCH("&lt;",B11))</f>
        <v>1</v>
      </c>
      <c r="BE11" s="23" t="b">
        <f>ISERROR(SEARCH("&gt;",B11))</f>
        <v>1</v>
      </c>
      <c r="BF11" s="23" t="b">
        <f>ISERROR(SEARCH(":",B11))</f>
        <v>1</v>
      </c>
      <c r="BG11" s="23" t="b">
        <f>ISERROR(SEARCH(",",B11))</f>
        <v>1</v>
      </c>
      <c r="BH11" s="23" t="b">
        <f>ISERROR(SEARCH(";",B11))</f>
        <v>1</v>
      </c>
      <c r="BI11" s="23" t="b">
        <f>ISERROR(SEARCH("|",B11))</f>
        <v>1</v>
      </c>
      <c r="BJ11" s="23" t="b">
        <f>ISERROR(SEARCH("\",B11))</f>
        <v>1</v>
      </c>
      <c r="BK11" s="23" t="b">
        <f>ISERROR(SEARCH("[",B11))</f>
        <v>1</v>
      </c>
      <c r="BL11" s="23" t="b">
        <f>ISERROR(SEARCH("]",B11))</f>
        <v>1</v>
      </c>
      <c r="BM11" s="23" t="b">
        <f>ISERROR(SEARCH("{",B11))</f>
        <v>1</v>
      </c>
      <c r="BN11" s="23" t="b">
        <f>ISERROR(SEARCH("}",B11))</f>
        <v>1</v>
      </c>
      <c r="BO11" s="23" t="b">
        <f>ISERROR(SEARCH("_",B11))</f>
        <v>1</v>
      </c>
      <c r="BP11" s="23" t="b">
        <f>ISERROR(SEARCH("(",B11))</f>
        <v>1</v>
      </c>
      <c r="BQ11" s="23" t="b">
        <f>ISERROR(SEARCH(")",B11))</f>
        <v>1</v>
      </c>
      <c r="BR11" s="23" t="b">
        <f>ISERROR(SEARCH("&amp;",B11))</f>
        <v>1</v>
      </c>
      <c r="BS11" s="23" t="b">
        <f>ISERROR(SEARCH("^",B11))</f>
        <v>1</v>
      </c>
      <c r="BT11" s="23" t="b">
        <f>ISERROR(SEARCH("#",B11))</f>
        <v>1</v>
      </c>
      <c r="BU11" s="23" t="b">
        <f>ISERROR(SEARCH("@",B11))</f>
        <v>1</v>
      </c>
      <c r="BV11" s="23" t="b">
        <f>ISERROR(SEARCH("!",B11))</f>
        <v>1</v>
      </c>
      <c r="BW11" s="23" t="b">
        <f>ISERROR(SEARCH("~?",B11))</f>
        <v>1</v>
      </c>
      <c r="BX11" s="23" t="b">
        <f>ISERROR(SEARCH("~*",B11))</f>
        <v>1</v>
      </c>
      <c r="BY11" s="23" t="b">
        <f>ISERROR(SEARCH("=",B11))</f>
        <v>1</v>
      </c>
      <c r="BZ11" s="23" t="b">
        <f>ISERROR(SEARCH("""",B11))</f>
        <v>1</v>
      </c>
      <c r="CA11" s="23" t="b">
        <f>ISERROR(SEARCH(" ",B11))</f>
        <v>1</v>
      </c>
    </row>
    <row r="12" spans="1:79" s="2" customFormat="1" ht="45" customHeight="1" thickBot="1">
      <c r="A12" s="98" t="str">
        <f>CONCATENATE("*",B11,"$",D11-(DATE(YEAR(D11),1,1)-1),A11,F11,AH11,AI11,AJ11,AK11,AL11,AM11,AN11,AO11,AP11,AQ11,AR11,AS11,AT11,AU11,AV11,AW11,AX11,AY11,AZ11,BA11,"*")</f>
        <v>*$0*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139" t="str">
        <f>CONCATENATE("*",C11,"*")</f>
        <v>**</v>
      </c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1"/>
      <c r="AE12" s="101"/>
      <c r="AF12" s="101"/>
      <c r="AG12" s="101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26" t="b">
        <f t="shared" si="0"/>
        <v>1</v>
      </c>
      <c r="BC12" s="22" t="b">
        <f>ISERROR(SEARCH("`",D11))</f>
        <v>1</v>
      </c>
      <c r="BD12" s="22" t="b">
        <f>ISERROR(SEARCH("&lt;",D11))</f>
        <v>1</v>
      </c>
      <c r="BE12" s="22" t="b">
        <f>ISERROR(SEARCH("&gt;",D11))</f>
        <v>1</v>
      </c>
      <c r="BF12" s="22" t="b">
        <f>ISERROR(SEARCH(":",D11))</f>
        <v>1</v>
      </c>
      <c r="BG12" s="22" t="b">
        <f>ISERROR(SEARCH(",",D11))</f>
        <v>1</v>
      </c>
      <c r="BH12" s="22" t="b">
        <f>ISERROR(SEARCH(";",D11))</f>
        <v>1</v>
      </c>
      <c r="BI12" s="22" t="b">
        <f>ISERROR(SEARCH("|",D11))</f>
        <v>1</v>
      </c>
      <c r="BJ12" s="22" t="b">
        <f>ISERROR(SEARCH("\",D11))</f>
        <v>1</v>
      </c>
      <c r="BK12" s="22" t="b">
        <f>ISERROR(SEARCH("[",D11))</f>
        <v>1</v>
      </c>
      <c r="BL12" s="22" t="b">
        <f>ISERROR(SEARCH("]",D11))</f>
        <v>1</v>
      </c>
      <c r="BM12" s="22" t="b">
        <f>ISERROR(SEARCH("{",D11))</f>
        <v>1</v>
      </c>
      <c r="BN12" s="22" t="b">
        <f>ISERROR(SEARCH("}",D11))</f>
        <v>1</v>
      </c>
      <c r="BO12" s="22" t="b">
        <f>ISERROR(SEARCH("_",D11))</f>
        <v>1</v>
      </c>
      <c r="BP12" s="22" t="b">
        <f>ISERROR(SEARCH("(",D11))</f>
        <v>1</v>
      </c>
      <c r="BQ12" s="22" t="b">
        <f>ISERROR(SEARCH(")",D11))</f>
        <v>1</v>
      </c>
      <c r="BR12" s="22" t="b">
        <f>ISERROR(SEARCH("&amp;",D11))</f>
        <v>1</v>
      </c>
      <c r="BS12" s="22" t="b">
        <f>ISERROR(SEARCH("^",D11))</f>
        <v>1</v>
      </c>
      <c r="BT12" s="22" t="b">
        <f>ISERROR(SEARCH("#",D11))</f>
        <v>1</v>
      </c>
      <c r="BU12" s="22" t="b">
        <f>ISERROR(SEARCH("@",D11))</f>
        <v>1</v>
      </c>
      <c r="BV12" s="22" t="b">
        <f>ISERROR(SEARCH("!",D11))</f>
        <v>1</v>
      </c>
      <c r="BW12" s="22" t="b">
        <f>ISERROR(SEARCH("~?",D11))</f>
        <v>1</v>
      </c>
      <c r="BX12" s="22" t="b">
        <f>ISERROR(SEARCH("~*",D11))</f>
        <v>1</v>
      </c>
      <c r="BY12" s="22" t="b">
        <f>ISERROR(SEARCH("=",D11))</f>
        <v>1</v>
      </c>
      <c r="BZ12" s="22" t="b">
        <f>ISERROR(SEARCH("""",D11))</f>
        <v>1</v>
      </c>
      <c r="CA12" s="22" t="b">
        <f>ISERROR(SEARCH(" ",D11))</f>
        <v>1</v>
      </c>
    </row>
    <row r="13" spans="1:79" s="2" customFormat="1" ht="16.5" customHeight="1" thickBot="1">
      <c r="A13" s="40"/>
      <c r="B13" s="56"/>
      <c r="C13" s="56"/>
      <c r="D13" s="47"/>
      <c r="E13" s="40" t="s">
        <v>78</v>
      </c>
      <c r="F13" s="44"/>
      <c r="G13" s="54">
        <f>SUM(H13:AD13)</f>
        <v>0</v>
      </c>
      <c r="H13" s="45"/>
      <c r="I13" s="33"/>
      <c r="J13" s="33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97"/>
      <c r="AF13" s="97"/>
      <c r="AG13" s="97"/>
      <c r="AH13" s="30"/>
      <c r="AI13" s="30" t="str">
        <f>CONCATENATE(IF(I13="","",$I$8),I13)</f>
        <v/>
      </c>
      <c r="AJ13" s="30" t="str">
        <f>CONCATENATE(IF(J13="","",$J$8),J13)</f>
        <v/>
      </c>
      <c r="AK13" s="30" t="str">
        <f>CONCATENATE(IF(K13="","",$K$8),K13)</f>
        <v/>
      </c>
      <c r="AL13" s="30" t="str">
        <f>CONCATENATE(IF(L13="","",$L$8),L13)</f>
        <v/>
      </c>
      <c r="AM13" s="30" t="str">
        <f>CONCATENATE(IF(M13="","",$M$8),M13)</f>
        <v/>
      </c>
      <c r="AN13" s="30" t="str">
        <f>CONCATENATE(IF(N13="","",$N$8),N13)</f>
        <v/>
      </c>
      <c r="AO13" s="30" t="str">
        <f>CONCATENATE(IF(R13="","",$R$8),R13)</f>
        <v/>
      </c>
      <c r="AP13" s="30" t="str">
        <f>CONCATENATE(IF(S13="","",$S$8),S13)</f>
        <v/>
      </c>
      <c r="AQ13" s="30" t="str">
        <f>CONCATENATE(IF(T13="","",$T$8),T13)</f>
        <v/>
      </c>
      <c r="AR13" s="30" t="str">
        <f>CONCATENATE(IF(U13="","",$U$8),U13)</f>
        <v/>
      </c>
      <c r="AS13" s="30" t="str">
        <f>CONCATENATE(IF(V13="","",$V$8),V13)</f>
        <v/>
      </c>
      <c r="AT13" s="30" t="str">
        <f>CONCATENATE(IF(W13="","",$W$8),W13)</f>
        <v/>
      </c>
      <c r="AU13" s="30" t="str">
        <f>CONCATENATE(IF(X13="","",$X$8),X13)</f>
        <v/>
      </c>
      <c r="AV13" s="30" t="str">
        <f>CONCATENATE(IF(Y13="","",$Y$8),Y13)</f>
        <v/>
      </c>
      <c r="AW13" s="30" t="str">
        <f>CONCATENATE(IF(Z13="","",$Z$8),Z13)</f>
        <v/>
      </c>
      <c r="AX13" s="30" t="str">
        <f>CONCATENATE(IF(AA13="","",$AA$8),AA13)</f>
        <v/>
      </c>
      <c r="AY13" s="30" t="str">
        <f>CONCATENATE(IF(AB13="","",AB$8),AB13)</f>
        <v/>
      </c>
      <c r="AZ13" s="30" t="str">
        <f>CONCATENATE(IF(AC13="","",AC$8),AC13)</f>
        <v/>
      </c>
      <c r="BA13" s="30" t="str">
        <f>CONCATENATE(IF(AD13="","",$AD$8),AD13)</f>
        <v/>
      </c>
      <c r="BB13" s="26" t="b">
        <f t="shared" si="0"/>
        <v>1</v>
      </c>
      <c r="BC13" s="23" t="b">
        <f>ISERROR(SEARCH("`",B13))</f>
        <v>1</v>
      </c>
      <c r="BD13" s="23" t="b">
        <f>ISERROR(SEARCH("&lt;",B13))</f>
        <v>1</v>
      </c>
      <c r="BE13" s="23" t="b">
        <f>ISERROR(SEARCH("&gt;",B13))</f>
        <v>1</v>
      </c>
      <c r="BF13" s="23" t="b">
        <f>ISERROR(SEARCH(":",B13))</f>
        <v>1</v>
      </c>
      <c r="BG13" s="23" t="b">
        <f>ISERROR(SEARCH(",",B13))</f>
        <v>1</v>
      </c>
      <c r="BH13" s="23" t="b">
        <f>ISERROR(SEARCH(";",B13))</f>
        <v>1</v>
      </c>
      <c r="BI13" s="23" t="b">
        <f>ISERROR(SEARCH("|",B13))</f>
        <v>1</v>
      </c>
      <c r="BJ13" s="23" t="b">
        <f>ISERROR(SEARCH("\",B13))</f>
        <v>1</v>
      </c>
      <c r="BK13" s="23" t="b">
        <f>ISERROR(SEARCH("[",B13))</f>
        <v>1</v>
      </c>
      <c r="BL13" s="23" t="b">
        <f>ISERROR(SEARCH("]",B13))</f>
        <v>1</v>
      </c>
      <c r="BM13" s="23" t="b">
        <f>ISERROR(SEARCH("{",B13))</f>
        <v>1</v>
      </c>
      <c r="BN13" s="23" t="b">
        <f>ISERROR(SEARCH("}",B13))</f>
        <v>1</v>
      </c>
      <c r="BO13" s="23" t="b">
        <f>ISERROR(SEARCH("_",B13))</f>
        <v>1</v>
      </c>
      <c r="BP13" s="23" t="b">
        <f>ISERROR(SEARCH("(",B13))</f>
        <v>1</v>
      </c>
      <c r="BQ13" s="23" t="b">
        <f>ISERROR(SEARCH(")",B13))</f>
        <v>1</v>
      </c>
      <c r="BR13" s="23" t="b">
        <f>ISERROR(SEARCH("&amp;",B13))</f>
        <v>1</v>
      </c>
      <c r="BS13" s="23" t="b">
        <f>ISERROR(SEARCH("^",B13))</f>
        <v>1</v>
      </c>
      <c r="BT13" s="23" t="b">
        <f>ISERROR(SEARCH("#",B13))</f>
        <v>1</v>
      </c>
      <c r="BU13" s="23" t="b">
        <f>ISERROR(SEARCH("@",B13))</f>
        <v>1</v>
      </c>
      <c r="BV13" s="23" t="b">
        <f>ISERROR(SEARCH("!",B13))</f>
        <v>1</v>
      </c>
      <c r="BW13" s="23" t="b">
        <f>ISERROR(SEARCH("~?",B13))</f>
        <v>1</v>
      </c>
      <c r="BX13" s="23" t="b">
        <f>ISERROR(SEARCH("~*",B13))</f>
        <v>1</v>
      </c>
      <c r="BY13" s="23" t="b">
        <f>ISERROR(SEARCH("=",B13))</f>
        <v>1</v>
      </c>
      <c r="BZ13" s="23" t="b">
        <f>ISERROR(SEARCH("""",B13))</f>
        <v>1</v>
      </c>
      <c r="CA13" s="23" t="b">
        <f>ISERROR(SEARCH(" ",B13))</f>
        <v>1</v>
      </c>
    </row>
    <row r="14" spans="1:79" s="2" customFormat="1" ht="45" customHeight="1" thickBot="1">
      <c r="A14" s="98" t="str">
        <f>CONCATENATE("*",B13,"$",D13-(DATE(YEAR(D13),1,1)-1),A13,F13,AH13,AI13,AJ13,AK13,AL13,AM13,AN13,AO13,AP13,AQ13,AR13,AS13,AT13,AU13,AV13,AW13,AX13,AY13,AZ13,BA13,"*")</f>
        <v>*$0*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39" t="str">
        <f>CONCATENATE("*",C13,"*")</f>
        <v>**</v>
      </c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1"/>
      <c r="AE14" s="97"/>
      <c r="AF14" s="97"/>
      <c r="AG14" s="97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26" t="b">
        <f t="shared" si="0"/>
        <v>1</v>
      </c>
      <c r="BC14" s="22" t="b">
        <f>ISERROR(SEARCH("`",D13))</f>
        <v>1</v>
      </c>
      <c r="BD14" s="22" t="b">
        <f>ISERROR(SEARCH("&lt;",D13))</f>
        <v>1</v>
      </c>
      <c r="BE14" s="22" t="b">
        <f>ISERROR(SEARCH("&gt;",D13))</f>
        <v>1</v>
      </c>
      <c r="BF14" s="22" t="b">
        <f>ISERROR(SEARCH(":",D13))</f>
        <v>1</v>
      </c>
      <c r="BG14" s="22" t="b">
        <f>ISERROR(SEARCH(",",D13))</f>
        <v>1</v>
      </c>
      <c r="BH14" s="22" t="b">
        <f>ISERROR(SEARCH(";",D13))</f>
        <v>1</v>
      </c>
      <c r="BI14" s="22" t="b">
        <f>ISERROR(SEARCH("|",D13))</f>
        <v>1</v>
      </c>
      <c r="BJ14" s="22" t="b">
        <f>ISERROR(SEARCH("\",D13))</f>
        <v>1</v>
      </c>
      <c r="BK14" s="22" t="b">
        <f>ISERROR(SEARCH("[",D13))</f>
        <v>1</v>
      </c>
      <c r="BL14" s="22" t="b">
        <f>ISERROR(SEARCH("]",D13))</f>
        <v>1</v>
      </c>
      <c r="BM14" s="22" t="b">
        <f>ISERROR(SEARCH("{",D13))</f>
        <v>1</v>
      </c>
      <c r="BN14" s="22" t="b">
        <f>ISERROR(SEARCH("}",D13))</f>
        <v>1</v>
      </c>
      <c r="BO14" s="22" t="b">
        <f>ISERROR(SEARCH("_",D13))</f>
        <v>1</v>
      </c>
      <c r="BP14" s="22" t="b">
        <f>ISERROR(SEARCH("(",D13))</f>
        <v>1</v>
      </c>
      <c r="BQ14" s="22" t="b">
        <f>ISERROR(SEARCH(")",D13))</f>
        <v>1</v>
      </c>
      <c r="BR14" s="22" t="b">
        <f>ISERROR(SEARCH("&amp;",D13))</f>
        <v>1</v>
      </c>
      <c r="BS14" s="22" t="b">
        <f>ISERROR(SEARCH("^",D13))</f>
        <v>1</v>
      </c>
      <c r="BT14" s="22" t="b">
        <f>ISERROR(SEARCH("#",D13))</f>
        <v>1</v>
      </c>
      <c r="BU14" s="22" t="b">
        <f>ISERROR(SEARCH("@",D13))</f>
        <v>1</v>
      </c>
      <c r="BV14" s="22" t="b">
        <f>ISERROR(SEARCH("!",D13))</f>
        <v>1</v>
      </c>
      <c r="BW14" s="22" t="b">
        <f>ISERROR(SEARCH("~?",D13))</f>
        <v>1</v>
      </c>
      <c r="BX14" s="22" t="b">
        <f>ISERROR(SEARCH("~*",D13))</f>
        <v>1</v>
      </c>
      <c r="BY14" s="22" t="b">
        <f>ISERROR(SEARCH("=",D13))</f>
        <v>1</v>
      </c>
      <c r="BZ14" s="22" t="b">
        <f>ISERROR(SEARCH("""",D13))</f>
        <v>1</v>
      </c>
      <c r="CA14" s="22" t="b">
        <f>ISERROR(SEARCH(" ",D13))</f>
        <v>1</v>
      </c>
    </row>
    <row r="15" spans="1:79" s="2" customFormat="1" ht="15.75" customHeight="1" thickBot="1">
      <c r="A15" s="40"/>
      <c r="B15" s="56"/>
      <c r="C15" s="56"/>
      <c r="D15" s="47"/>
      <c r="E15" s="40" t="s">
        <v>78</v>
      </c>
      <c r="F15" s="44"/>
      <c r="G15" s="43">
        <f>SUM(H15:AD15)</f>
        <v>0</v>
      </c>
      <c r="H15" s="45"/>
      <c r="I15" s="33"/>
      <c r="J15" s="33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101"/>
      <c r="AF15" s="101"/>
      <c r="AG15" s="101"/>
      <c r="AH15" s="30"/>
      <c r="AI15" s="30" t="str">
        <f>CONCATENATE(IF(I15="","",$I$8),I15)</f>
        <v/>
      </c>
      <c r="AJ15" s="30" t="str">
        <f>CONCATENATE(IF(J15="","",$J$8),J15)</f>
        <v/>
      </c>
      <c r="AK15" s="30" t="str">
        <f>CONCATENATE(IF(K15="","",$K$8),K15)</f>
        <v/>
      </c>
      <c r="AL15" s="30" t="str">
        <f>CONCATENATE(IF(L15="","",$L$8),L15)</f>
        <v/>
      </c>
      <c r="AM15" s="30" t="str">
        <f>CONCATENATE(IF(M15="","",$M$8),M15)</f>
        <v/>
      </c>
      <c r="AN15" s="30" t="str">
        <f>CONCATENATE(IF(N15="","",$N$8),N15)</f>
        <v/>
      </c>
      <c r="AO15" s="30" t="str">
        <f>CONCATENATE(IF(R15="","",$R$8),R15)</f>
        <v/>
      </c>
      <c r="AP15" s="30" t="str">
        <f>CONCATENATE(IF(S15="","",$S$8),S15)</f>
        <v/>
      </c>
      <c r="AQ15" s="30" t="str">
        <f>CONCATENATE(IF(T15="","",$T$8),T15)</f>
        <v/>
      </c>
      <c r="AR15" s="30" t="str">
        <f>CONCATENATE(IF(U15="","",$U$8),U15)</f>
        <v/>
      </c>
      <c r="AS15" s="30" t="str">
        <f>CONCATENATE(IF(V15="","",$V$8),V15)</f>
        <v/>
      </c>
      <c r="AT15" s="30" t="str">
        <f>CONCATENATE(IF(W15="","",$W$8),W15)</f>
        <v/>
      </c>
      <c r="AU15" s="30" t="str">
        <f>CONCATENATE(IF(X15="","",$X$8),X15)</f>
        <v/>
      </c>
      <c r="AV15" s="30" t="str">
        <f>CONCATENATE(IF(Y15="","",$Y$8),Y15)</f>
        <v/>
      </c>
      <c r="AW15" s="30" t="str">
        <f>CONCATENATE(IF(Z15="","",$Z$8),Z15)</f>
        <v/>
      </c>
      <c r="AX15" s="30" t="str">
        <f>CONCATENATE(IF(AA15="","",$AA$8),AA15)</f>
        <v/>
      </c>
      <c r="AY15" s="30" t="str">
        <f>CONCATENATE(IF(AB15="","",AB$8),AB15)</f>
        <v/>
      </c>
      <c r="AZ15" s="30" t="str">
        <f>CONCATENATE(IF(AC15="","",AC$8),AC15)</f>
        <v/>
      </c>
      <c r="BA15" s="30" t="str">
        <f>CONCATENATE(IF(AD15="","",$AD$8),AD15)</f>
        <v/>
      </c>
      <c r="BB15" s="26" t="b">
        <f t="shared" si="0"/>
        <v>1</v>
      </c>
      <c r="BC15" s="23" t="b">
        <f>ISERROR(SEARCH("`",B15))</f>
        <v>1</v>
      </c>
      <c r="BD15" s="23" t="b">
        <f>ISERROR(SEARCH("&lt;",B15))</f>
        <v>1</v>
      </c>
      <c r="BE15" s="23" t="b">
        <f>ISERROR(SEARCH("&gt;",B15))</f>
        <v>1</v>
      </c>
      <c r="BF15" s="23" t="b">
        <f>ISERROR(SEARCH(":",B15))</f>
        <v>1</v>
      </c>
      <c r="BG15" s="23" t="b">
        <f>ISERROR(SEARCH(",",B15))</f>
        <v>1</v>
      </c>
      <c r="BH15" s="23" t="b">
        <f>ISERROR(SEARCH(";",B15))</f>
        <v>1</v>
      </c>
      <c r="BI15" s="23" t="b">
        <f>ISERROR(SEARCH("|",B15))</f>
        <v>1</v>
      </c>
      <c r="BJ15" s="23" t="b">
        <f>ISERROR(SEARCH("\",B15))</f>
        <v>1</v>
      </c>
      <c r="BK15" s="23" t="b">
        <f>ISERROR(SEARCH("[",B15))</f>
        <v>1</v>
      </c>
      <c r="BL15" s="23" t="b">
        <f>ISERROR(SEARCH("]",B15))</f>
        <v>1</v>
      </c>
      <c r="BM15" s="23" t="b">
        <f>ISERROR(SEARCH("{",B15))</f>
        <v>1</v>
      </c>
      <c r="BN15" s="23" t="b">
        <f>ISERROR(SEARCH("}",B15))</f>
        <v>1</v>
      </c>
      <c r="BO15" s="23" t="b">
        <f>ISERROR(SEARCH("_",B15))</f>
        <v>1</v>
      </c>
      <c r="BP15" s="23" t="b">
        <f>ISERROR(SEARCH("(",B15))</f>
        <v>1</v>
      </c>
      <c r="BQ15" s="23" t="b">
        <f>ISERROR(SEARCH(")",B15))</f>
        <v>1</v>
      </c>
      <c r="BR15" s="23" t="b">
        <f>ISERROR(SEARCH("&amp;",B15))</f>
        <v>1</v>
      </c>
      <c r="BS15" s="23" t="b">
        <f>ISERROR(SEARCH("^",B15))</f>
        <v>1</v>
      </c>
      <c r="BT15" s="23" t="b">
        <f>ISERROR(SEARCH("#",B15))</f>
        <v>1</v>
      </c>
      <c r="BU15" s="23" t="b">
        <f>ISERROR(SEARCH("@",B15))</f>
        <v>1</v>
      </c>
      <c r="BV15" s="23" t="b">
        <f>ISERROR(SEARCH("!",B15))</f>
        <v>1</v>
      </c>
      <c r="BW15" s="23" t="b">
        <f>ISERROR(SEARCH("~?",B15))</f>
        <v>1</v>
      </c>
      <c r="BX15" s="23" t="b">
        <f>ISERROR(SEARCH("~*",B15))</f>
        <v>1</v>
      </c>
      <c r="BY15" s="23" t="b">
        <f>ISERROR(SEARCH("=",B15))</f>
        <v>1</v>
      </c>
      <c r="BZ15" s="23" t="b">
        <f>ISERROR(SEARCH("""",B15))</f>
        <v>1</v>
      </c>
      <c r="CA15" s="23" t="b">
        <f>ISERROR(SEARCH(" ",B15))</f>
        <v>1</v>
      </c>
    </row>
    <row r="16" spans="1:79" s="2" customFormat="1" ht="45" customHeight="1" thickBot="1">
      <c r="A16" s="98" t="str">
        <f>CONCATENATE("*",B15,"$",D15-(DATE(YEAR(D15),1,1)-1),A15,F15,AH15,AI15,AJ15,AK15,AL15,AM15,AN15,AO15,AP15,AQ15,AR15,AS15,AT15,AU15,AV15,AW15,AX15,AY15,AZ15,BA15,"*")</f>
        <v>*$0*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139" t="str">
        <f>CONCATENATE("*",C15,"*")</f>
        <v>**</v>
      </c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1"/>
      <c r="AE16" s="101"/>
      <c r="AF16" s="101"/>
      <c r="AG16" s="101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26" t="b">
        <f t="shared" si="0"/>
        <v>1</v>
      </c>
      <c r="BC16" s="22" t="b">
        <f>ISERROR(SEARCH("`",D15))</f>
        <v>1</v>
      </c>
      <c r="BD16" s="22" t="b">
        <f>ISERROR(SEARCH("&lt;",D15))</f>
        <v>1</v>
      </c>
      <c r="BE16" s="22" t="b">
        <f>ISERROR(SEARCH("&gt;",D15))</f>
        <v>1</v>
      </c>
      <c r="BF16" s="22" t="b">
        <f>ISERROR(SEARCH(":",D15))</f>
        <v>1</v>
      </c>
      <c r="BG16" s="22" t="b">
        <f>ISERROR(SEARCH(",",D15))</f>
        <v>1</v>
      </c>
      <c r="BH16" s="22" t="b">
        <f>ISERROR(SEARCH(";",D15))</f>
        <v>1</v>
      </c>
      <c r="BI16" s="22" t="b">
        <f>ISERROR(SEARCH("|",D15))</f>
        <v>1</v>
      </c>
      <c r="BJ16" s="22" t="b">
        <f>ISERROR(SEARCH("\",D15))</f>
        <v>1</v>
      </c>
      <c r="BK16" s="22" t="b">
        <f>ISERROR(SEARCH("[",D15))</f>
        <v>1</v>
      </c>
      <c r="BL16" s="22" t="b">
        <f>ISERROR(SEARCH("]",D15))</f>
        <v>1</v>
      </c>
      <c r="BM16" s="22" t="b">
        <f>ISERROR(SEARCH("{",D15))</f>
        <v>1</v>
      </c>
      <c r="BN16" s="22" t="b">
        <f>ISERROR(SEARCH("}",D15))</f>
        <v>1</v>
      </c>
      <c r="BO16" s="22" t="b">
        <f>ISERROR(SEARCH("_",D15))</f>
        <v>1</v>
      </c>
      <c r="BP16" s="22" t="b">
        <f>ISERROR(SEARCH("(",D15))</f>
        <v>1</v>
      </c>
      <c r="BQ16" s="22" t="b">
        <f>ISERROR(SEARCH(")",D15))</f>
        <v>1</v>
      </c>
      <c r="BR16" s="22" t="b">
        <f>ISERROR(SEARCH("&amp;",D15))</f>
        <v>1</v>
      </c>
      <c r="BS16" s="22" t="b">
        <f>ISERROR(SEARCH("^",D15))</f>
        <v>1</v>
      </c>
      <c r="BT16" s="22" t="b">
        <f>ISERROR(SEARCH("#",D15))</f>
        <v>1</v>
      </c>
      <c r="BU16" s="22" t="b">
        <f>ISERROR(SEARCH("@",D15))</f>
        <v>1</v>
      </c>
      <c r="BV16" s="22" t="b">
        <f>ISERROR(SEARCH("!",D15))</f>
        <v>1</v>
      </c>
      <c r="BW16" s="22" t="b">
        <f>ISERROR(SEARCH("~?",D15))</f>
        <v>1</v>
      </c>
      <c r="BX16" s="22" t="b">
        <f>ISERROR(SEARCH("~*",D15))</f>
        <v>1</v>
      </c>
      <c r="BY16" s="22" t="b">
        <f>ISERROR(SEARCH("=",D15))</f>
        <v>1</v>
      </c>
      <c r="BZ16" s="22" t="b">
        <f>ISERROR(SEARCH("""",D15))</f>
        <v>1</v>
      </c>
      <c r="CA16" s="22" t="b">
        <f>ISERROR(SEARCH(" ",D15))</f>
        <v>1</v>
      </c>
    </row>
    <row r="17" spans="1:79" s="2" customFormat="1" ht="15.75" customHeight="1" thickBot="1">
      <c r="A17" s="40"/>
      <c r="B17" s="56"/>
      <c r="C17" s="56"/>
      <c r="D17" s="47"/>
      <c r="E17" s="40" t="s">
        <v>78</v>
      </c>
      <c r="F17" s="44"/>
      <c r="G17" s="54">
        <f>SUM(H17:AD17)</f>
        <v>0</v>
      </c>
      <c r="H17" s="45"/>
      <c r="I17" s="33"/>
      <c r="J17" s="33"/>
      <c r="K17" s="33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101"/>
      <c r="AF17" s="101"/>
      <c r="AG17" s="101"/>
      <c r="AH17" s="30"/>
      <c r="AI17" s="30" t="str">
        <f>CONCATENATE(IF(I17="","",$I$8),I17)</f>
        <v/>
      </c>
      <c r="AJ17" s="30" t="str">
        <f>CONCATENATE(IF(J17="","",$J$8),J17)</f>
        <v/>
      </c>
      <c r="AK17" s="30" t="str">
        <f>CONCATENATE(IF(K17="","",$K$8),K17)</f>
        <v/>
      </c>
      <c r="AL17" s="30" t="str">
        <f>CONCATENATE(IF(L17="","",$L$8),L17)</f>
        <v/>
      </c>
      <c r="AM17" s="30" t="str">
        <f>CONCATENATE(IF(M17="","",$M$8),M17)</f>
        <v/>
      </c>
      <c r="AN17" s="30" t="str">
        <f>CONCATENATE(IF(N17="","",$N$8),N17)</f>
        <v/>
      </c>
      <c r="AO17" s="30" t="str">
        <f>CONCATENATE(IF(R17="","",$R$8),R17)</f>
        <v/>
      </c>
      <c r="AP17" s="30" t="str">
        <f>CONCATENATE(IF(S17="","",$S$8),S17)</f>
        <v/>
      </c>
      <c r="AQ17" s="30" t="str">
        <f>CONCATENATE(IF(T17="","",$T$8),T17)</f>
        <v/>
      </c>
      <c r="AR17" s="30" t="str">
        <f>CONCATENATE(IF(U17="","",$U$8),U17)</f>
        <v/>
      </c>
      <c r="AS17" s="30" t="str">
        <f>CONCATENATE(IF(V17="","",$V$8),V17)</f>
        <v/>
      </c>
      <c r="AT17" s="30" t="str">
        <f>CONCATENATE(IF(W17="","",$W$8),W17)</f>
        <v/>
      </c>
      <c r="AU17" s="30" t="str">
        <f>CONCATENATE(IF(X17="","",$X$8),X17)</f>
        <v/>
      </c>
      <c r="AV17" s="30" t="str">
        <f>CONCATENATE(IF(Y17="","",$Y$8),Y17)</f>
        <v/>
      </c>
      <c r="AW17" s="30" t="str">
        <f>CONCATENATE(IF(Z17="","",$Z$8),Z17)</f>
        <v/>
      </c>
      <c r="AX17" s="30" t="str">
        <f>CONCATENATE(IF(AA17="","",$AA$8),AA17)</f>
        <v/>
      </c>
      <c r="AY17" s="30" t="str">
        <f>CONCATENATE(IF(AB17="","",AB$8),AB17)</f>
        <v/>
      </c>
      <c r="AZ17" s="30" t="str">
        <f>CONCATENATE(IF(AC17="","",AC$8),AC17)</f>
        <v/>
      </c>
      <c r="BA17" s="30" t="str">
        <f>CONCATENATE(IF(AD17="","",$AD$8),AD17)</f>
        <v/>
      </c>
      <c r="BB17" s="26" t="b">
        <f t="shared" si="0"/>
        <v>1</v>
      </c>
      <c r="BC17" s="23" t="b">
        <f>ISERROR(SEARCH("`",B17))</f>
        <v>1</v>
      </c>
      <c r="BD17" s="23" t="b">
        <f>ISERROR(SEARCH("&lt;",B17))</f>
        <v>1</v>
      </c>
      <c r="BE17" s="23" t="b">
        <f>ISERROR(SEARCH("&gt;",B17))</f>
        <v>1</v>
      </c>
      <c r="BF17" s="23" t="b">
        <f>ISERROR(SEARCH(":",B17))</f>
        <v>1</v>
      </c>
      <c r="BG17" s="23" t="b">
        <f>ISERROR(SEARCH(",",B17))</f>
        <v>1</v>
      </c>
      <c r="BH17" s="23" t="b">
        <f>ISERROR(SEARCH(";",B17))</f>
        <v>1</v>
      </c>
      <c r="BI17" s="23" t="b">
        <f>ISERROR(SEARCH("|",B17))</f>
        <v>1</v>
      </c>
      <c r="BJ17" s="23" t="b">
        <f>ISERROR(SEARCH("\",B17))</f>
        <v>1</v>
      </c>
      <c r="BK17" s="23" t="b">
        <f>ISERROR(SEARCH("[",B17))</f>
        <v>1</v>
      </c>
      <c r="BL17" s="23" t="b">
        <f>ISERROR(SEARCH("]",B17))</f>
        <v>1</v>
      </c>
      <c r="BM17" s="23" t="b">
        <f>ISERROR(SEARCH("{",B17))</f>
        <v>1</v>
      </c>
      <c r="BN17" s="23" t="b">
        <f>ISERROR(SEARCH("}",B17))</f>
        <v>1</v>
      </c>
      <c r="BO17" s="23" t="b">
        <f>ISERROR(SEARCH("_",B17))</f>
        <v>1</v>
      </c>
      <c r="BP17" s="23" t="b">
        <f>ISERROR(SEARCH("(",B17))</f>
        <v>1</v>
      </c>
      <c r="BQ17" s="23" t="b">
        <f>ISERROR(SEARCH(")",B17))</f>
        <v>1</v>
      </c>
      <c r="BR17" s="23" t="b">
        <f>ISERROR(SEARCH("&amp;",B17))</f>
        <v>1</v>
      </c>
      <c r="BS17" s="23" t="b">
        <f>ISERROR(SEARCH("^",B17))</f>
        <v>1</v>
      </c>
      <c r="BT17" s="23" t="b">
        <f>ISERROR(SEARCH("#",B17))</f>
        <v>1</v>
      </c>
      <c r="BU17" s="23" t="b">
        <f>ISERROR(SEARCH("@",B17))</f>
        <v>1</v>
      </c>
      <c r="BV17" s="23" t="b">
        <f>ISERROR(SEARCH("!",B17))</f>
        <v>1</v>
      </c>
      <c r="BW17" s="23" t="b">
        <f>ISERROR(SEARCH("~?",B17))</f>
        <v>1</v>
      </c>
      <c r="BX17" s="23" t="b">
        <f>ISERROR(SEARCH("~*",B17))</f>
        <v>1</v>
      </c>
      <c r="BY17" s="23" t="b">
        <f>ISERROR(SEARCH("=",B17))</f>
        <v>1</v>
      </c>
      <c r="BZ17" s="23" t="b">
        <f>ISERROR(SEARCH("""",B17))</f>
        <v>1</v>
      </c>
      <c r="CA17" s="23" t="b">
        <f>ISERROR(SEARCH(" ",B17))</f>
        <v>1</v>
      </c>
    </row>
    <row r="18" spans="1:79" s="2" customFormat="1" ht="45" customHeight="1" thickBot="1">
      <c r="A18" s="98" t="str">
        <f>CONCATENATE("*",B17,"$",D17-(DATE(YEAR(D17),1,1)-1),A17,F17,AH17,AI17,AJ17,AK17,AL17,AM17,AN17,AO17,AP17,AQ17,AR17,AS17,AT17,AU17,AV17,AW17,AX17,AY17,AZ17,BA17,"*")</f>
        <v>*$0*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139" t="str">
        <f>CONCATENATE("*",C17,"*")</f>
        <v>**</v>
      </c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1"/>
      <c r="AE18" s="101"/>
      <c r="AF18" s="101"/>
      <c r="AG18" s="101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26" t="b">
        <f t="shared" si="0"/>
        <v>1</v>
      </c>
      <c r="BC18" s="22" t="b">
        <f>ISERROR(SEARCH("`",D17))</f>
        <v>1</v>
      </c>
      <c r="BD18" s="22" t="b">
        <f>ISERROR(SEARCH("&lt;",D17))</f>
        <v>1</v>
      </c>
      <c r="BE18" s="22" t="b">
        <f>ISERROR(SEARCH("&gt;",D17))</f>
        <v>1</v>
      </c>
      <c r="BF18" s="22" t="b">
        <f>ISERROR(SEARCH(":",D17))</f>
        <v>1</v>
      </c>
      <c r="BG18" s="22" t="b">
        <f>ISERROR(SEARCH(",",D17))</f>
        <v>1</v>
      </c>
      <c r="BH18" s="22" t="b">
        <f>ISERROR(SEARCH(";",D17))</f>
        <v>1</v>
      </c>
      <c r="BI18" s="22" t="b">
        <f>ISERROR(SEARCH("|",D17))</f>
        <v>1</v>
      </c>
      <c r="BJ18" s="22" t="b">
        <f>ISERROR(SEARCH("\",D17))</f>
        <v>1</v>
      </c>
      <c r="BK18" s="22" t="b">
        <f>ISERROR(SEARCH("[",D17))</f>
        <v>1</v>
      </c>
      <c r="BL18" s="22" t="b">
        <f>ISERROR(SEARCH("]",D17))</f>
        <v>1</v>
      </c>
      <c r="BM18" s="22" t="b">
        <f>ISERROR(SEARCH("{",D17))</f>
        <v>1</v>
      </c>
      <c r="BN18" s="22" t="b">
        <f>ISERROR(SEARCH("}",D17))</f>
        <v>1</v>
      </c>
      <c r="BO18" s="22" t="b">
        <f>ISERROR(SEARCH("_",D17))</f>
        <v>1</v>
      </c>
      <c r="BP18" s="22" t="b">
        <f>ISERROR(SEARCH("(",D17))</f>
        <v>1</v>
      </c>
      <c r="BQ18" s="22" t="b">
        <f>ISERROR(SEARCH(")",D17))</f>
        <v>1</v>
      </c>
      <c r="BR18" s="22" t="b">
        <f>ISERROR(SEARCH("&amp;",D17))</f>
        <v>1</v>
      </c>
      <c r="BS18" s="22" t="b">
        <f>ISERROR(SEARCH("^",D17))</f>
        <v>1</v>
      </c>
      <c r="BT18" s="22" t="b">
        <f>ISERROR(SEARCH("#",D17))</f>
        <v>1</v>
      </c>
      <c r="BU18" s="22" t="b">
        <f>ISERROR(SEARCH("@",D17))</f>
        <v>1</v>
      </c>
      <c r="BV18" s="22" t="b">
        <f>ISERROR(SEARCH("!",D17))</f>
        <v>1</v>
      </c>
      <c r="BW18" s="22" t="b">
        <f>ISERROR(SEARCH("~?",D17))</f>
        <v>1</v>
      </c>
      <c r="BX18" s="22" t="b">
        <f>ISERROR(SEARCH("~*",D17))</f>
        <v>1</v>
      </c>
      <c r="BY18" s="22" t="b">
        <f>ISERROR(SEARCH("=",D17))</f>
        <v>1</v>
      </c>
      <c r="BZ18" s="22" t="b">
        <f>ISERROR(SEARCH("""",D17))</f>
        <v>1</v>
      </c>
      <c r="CA18" s="22" t="b">
        <f>ISERROR(SEARCH(" ",D17))</f>
        <v>1</v>
      </c>
    </row>
    <row r="19" spans="1:79" s="2" customFormat="1" ht="15.75" customHeight="1" thickBot="1">
      <c r="A19" s="40"/>
      <c r="B19" s="56"/>
      <c r="C19" s="56"/>
      <c r="D19" s="47"/>
      <c r="E19" s="40" t="s">
        <v>78</v>
      </c>
      <c r="F19" s="44"/>
      <c r="G19" s="43">
        <f>SUM(H19:AD19)</f>
        <v>0</v>
      </c>
      <c r="H19" s="46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101"/>
      <c r="AF19" s="101"/>
      <c r="AG19" s="101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26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s="2" customFormat="1" ht="45" customHeight="1" thickBot="1">
      <c r="A20" s="98" t="str">
        <f>CONCATENATE("*",B19,"$",D19-(DATE(YEAR(D19),1,1)-1),A19,F19,AH19,AI19,AJ19,AK19,AL19,AM19,AN19,AO19,AP19,AQ19,AR19,AS19,AT19,AU19,AV19,AW19,AX19,AY19,AZ19,BA19,"*")</f>
        <v>*$0*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139" t="str">
        <f>CONCATENATE("*",C19,"*")</f>
        <v>**</v>
      </c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1"/>
      <c r="AE20" s="101"/>
      <c r="AF20" s="101"/>
      <c r="AG20" s="101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26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</row>
    <row r="21" spans="1:79" s="2" customFormat="1" ht="15.75" customHeight="1" thickBot="1">
      <c r="A21" s="40"/>
      <c r="B21" s="56"/>
      <c r="C21" s="56"/>
      <c r="D21" s="47"/>
      <c r="E21" s="40" t="s">
        <v>78</v>
      </c>
      <c r="F21" s="44"/>
      <c r="G21" s="43">
        <f>SUM(H21:AD21)</f>
        <v>0</v>
      </c>
      <c r="H21" s="45"/>
      <c r="I21" s="33"/>
      <c r="J21" s="33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101"/>
      <c r="AF21" s="101"/>
      <c r="AG21" s="101"/>
      <c r="AH21" s="30"/>
      <c r="AI21" s="30" t="str">
        <f>CONCATENATE(IF(I21="","",$I$8),I21)</f>
        <v/>
      </c>
      <c r="AJ21" s="30" t="str">
        <f>CONCATENATE(IF(J21="","",$J$8),J21)</f>
        <v/>
      </c>
      <c r="AK21" s="30" t="str">
        <f>CONCATENATE(IF(K21="","",$K$8),K21)</f>
        <v/>
      </c>
      <c r="AL21" s="30" t="str">
        <f>CONCATENATE(IF(L21="","",$L$8),L21)</f>
        <v/>
      </c>
      <c r="AM21" s="30" t="str">
        <f>CONCATENATE(IF(M21="","",$M$8),M21)</f>
        <v/>
      </c>
      <c r="AN21" s="30" t="str">
        <f>CONCATENATE(IF(N21="","",$N$8),N21)</f>
        <v/>
      </c>
      <c r="AO21" s="30" t="str">
        <f>CONCATENATE(IF(R21="","",$R$8),R21)</f>
        <v/>
      </c>
      <c r="AP21" s="30" t="str">
        <f>CONCATENATE(IF(S21="","",$S$8),S21)</f>
        <v/>
      </c>
      <c r="AQ21" s="30" t="str">
        <f>CONCATENATE(IF(T21="","",$T$8),T21)</f>
        <v/>
      </c>
      <c r="AR21" s="30" t="str">
        <f>CONCATENATE(IF(U21="","",$U$8),U21)</f>
        <v/>
      </c>
      <c r="AS21" s="30" t="str">
        <f>CONCATENATE(IF(V21="","",$V$8),V21)</f>
        <v/>
      </c>
      <c r="AT21" s="30" t="str">
        <f>CONCATENATE(IF(W21="","",$W$8),W21)</f>
        <v/>
      </c>
      <c r="AU21" s="30" t="str">
        <f>CONCATENATE(IF(X21="","",$X$8),X21)</f>
        <v/>
      </c>
      <c r="AV21" s="30" t="str">
        <f>CONCATENATE(IF(Y21="","",$Y$8),Y21)</f>
        <v/>
      </c>
      <c r="AW21" s="30" t="str">
        <f>CONCATENATE(IF(Z21="","",$Z$8),Z21)</f>
        <v/>
      </c>
      <c r="AX21" s="30" t="str">
        <f>CONCATENATE(IF(AA21="","",$AA$8),AA21)</f>
        <v/>
      </c>
      <c r="AY21" s="30" t="str">
        <f>CONCATENATE(IF(AB21="","",AB$8),AB21)</f>
        <v/>
      </c>
      <c r="AZ21" s="30" t="str">
        <f>CONCATENATE(IF(AC21="","",AC$8),AC21)</f>
        <v/>
      </c>
      <c r="BA21" s="30" t="str">
        <f>CONCATENATE(IF(AD21="","",$AD$8),AD21)</f>
        <v/>
      </c>
      <c r="BB21" s="26" t="b">
        <f t="shared" si="0"/>
        <v>1</v>
      </c>
      <c r="BC21" s="23" t="b">
        <f>ISERROR(SEARCH("`",B21))</f>
        <v>1</v>
      </c>
      <c r="BD21" s="23" t="b">
        <f>ISERROR(SEARCH("&lt;",B21))</f>
        <v>1</v>
      </c>
      <c r="BE21" s="23" t="b">
        <f>ISERROR(SEARCH("&gt;",B21))</f>
        <v>1</v>
      </c>
      <c r="BF21" s="23" t="b">
        <f>ISERROR(SEARCH(":",B21))</f>
        <v>1</v>
      </c>
      <c r="BG21" s="23" t="b">
        <f>ISERROR(SEARCH(",",B21))</f>
        <v>1</v>
      </c>
      <c r="BH21" s="23" t="b">
        <f>ISERROR(SEARCH(";",B21))</f>
        <v>1</v>
      </c>
      <c r="BI21" s="23" t="b">
        <f>ISERROR(SEARCH("|",B21))</f>
        <v>1</v>
      </c>
      <c r="BJ21" s="23" t="b">
        <f>ISERROR(SEARCH("\",B21))</f>
        <v>1</v>
      </c>
      <c r="BK21" s="23" t="b">
        <f>ISERROR(SEARCH("[",B21))</f>
        <v>1</v>
      </c>
      <c r="BL21" s="23" t="b">
        <f>ISERROR(SEARCH("]",B21))</f>
        <v>1</v>
      </c>
      <c r="BM21" s="23" t="b">
        <f>ISERROR(SEARCH("{",B21))</f>
        <v>1</v>
      </c>
      <c r="BN21" s="23" t="b">
        <f>ISERROR(SEARCH("}",B21))</f>
        <v>1</v>
      </c>
      <c r="BO21" s="23" t="b">
        <f>ISERROR(SEARCH("_",B21))</f>
        <v>1</v>
      </c>
      <c r="BP21" s="23" t="b">
        <f>ISERROR(SEARCH("(",B21))</f>
        <v>1</v>
      </c>
      <c r="BQ21" s="23" t="b">
        <f>ISERROR(SEARCH(")",B21))</f>
        <v>1</v>
      </c>
      <c r="BR21" s="23" t="b">
        <f>ISERROR(SEARCH("&amp;",B21))</f>
        <v>1</v>
      </c>
      <c r="BS21" s="23" t="b">
        <f>ISERROR(SEARCH("^",B21))</f>
        <v>1</v>
      </c>
      <c r="BT21" s="23" t="b">
        <f>ISERROR(SEARCH("#",B21))</f>
        <v>1</v>
      </c>
      <c r="BU21" s="23" t="b">
        <f>ISERROR(SEARCH("@",B21))</f>
        <v>1</v>
      </c>
      <c r="BV21" s="23" t="b">
        <f>ISERROR(SEARCH("!",B21))</f>
        <v>1</v>
      </c>
      <c r="BW21" s="23" t="b">
        <f>ISERROR(SEARCH("~?",B21))</f>
        <v>1</v>
      </c>
      <c r="BX21" s="23" t="b">
        <f>ISERROR(SEARCH("~*",B21))</f>
        <v>1</v>
      </c>
      <c r="BY21" s="23" t="b">
        <f>ISERROR(SEARCH("=",B21))</f>
        <v>1</v>
      </c>
      <c r="BZ21" s="23" t="b">
        <f>ISERROR(SEARCH("""",B21))</f>
        <v>1</v>
      </c>
      <c r="CA21" s="23" t="b">
        <f>ISERROR(SEARCH(" ",B21))</f>
        <v>1</v>
      </c>
    </row>
    <row r="22" spans="1:79" s="2" customFormat="1" ht="45" customHeight="1" thickBot="1">
      <c r="A22" s="98" t="str">
        <f>CONCATENATE("*",B21,"$",D21-(DATE(YEAR(D21),1,1)-1),A21,F21,AH21,AI21,AJ21,AK21,AL21,AM21,AN21,AO21,AP21,AQ21,AR21,AS21,AT21,AU21,AV21,AW21,AX21,AY21,AZ21,BA21,"*")</f>
        <v>*$0*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139" t="str">
        <f>CONCATENATE("*",C21,"*")</f>
        <v>**</v>
      </c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1"/>
      <c r="AE22" s="101"/>
      <c r="AF22" s="101"/>
      <c r="AG22" s="101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26" t="b">
        <f t="shared" si="0"/>
        <v>1</v>
      </c>
      <c r="BC22" s="22" t="b">
        <f>ISERROR(SEARCH("`",D21))</f>
        <v>1</v>
      </c>
      <c r="BD22" s="22" t="b">
        <f>ISERROR(SEARCH("&lt;",D21))</f>
        <v>1</v>
      </c>
      <c r="BE22" s="22" t="b">
        <f>ISERROR(SEARCH("&gt;",D21))</f>
        <v>1</v>
      </c>
      <c r="BF22" s="22" t="b">
        <f>ISERROR(SEARCH(":",D21))</f>
        <v>1</v>
      </c>
      <c r="BG22" s="22" t="b">
        <f>ISERROR(SEARCH(",",D21))</f>
        <v>1</v>
      </c>
      <c r="BH22" s="22" t="b">
        <f>ISERROR(SEARCH(";",D21))</f>
        <v>1</v>
      </c>
      <c r="BI22" s="22" t="b">
        <f>ISERROR(SEARCH("|",D21))</f>
        <v>1</v>
      </c>
      <c r="BJ22" s="22" t="b">
        <f>ISERROR(SEARCH("\",D21))</f>
        <v>1</v>
      </c>
      <c r="BK22" s="22" t="b">
        <f>ISERROR(SEARCH("[",D21))</f>
        <v>1</v>
      </c>
      <c r="BL22" s="22" t="b">
        <f>ISERROR(SEARCH("]",D21))</f>
        <v>1</v>
      </c>
      <c r="BM22" s="22" t="b">
        <f>ISERROR(SEARCH("{",D21))</f>
        <v>1</v>
      </c>
      <c r="BN22" s="22" t="b">
        <f>ISERROR(SEARCH("}",D21))</f>
        <v>1</v>
      </c>
      <c r="BO22" s="22" t="b">
        <f>ISERROR(SEARCH("_",D21))</f>
        <v>1</v>
      </c>
      <c r="BP22" s="22" t="b">
        <f>ISERROR(SEARCH("(",D21))</f>
        <v>1</v>
      </c>
      <c r="BQ22" s="22" t="b">
        <f>ISERROR(SEARCH(")",D21))</f>
        <v>1</v>
      </c>
      <c r="BR22" s="22" t="b">
        <f>ISERROR(SEARCH("&amp;",D21))</f>
        <v>1</v>
      </c>
      <c r="BS22" s="22" t="b">
        <f>ISERROR(SEARCH("^",D21))</f>
        <v>1</v>
      </c>
      <c r="BT22" s="22" t="b">
        <f>ISERROR(SEARCH("#",D21))</f>
        <v>1</v>
      </c>
      <c r="BU22" s="22" t="b">
        <f>ISERROR(SEARCH("@",D21))</f>
        <v>1</v>
      </c>
      <c r="BV22" s="22" t="b">
        <f>ISERROR(SEARCH("!",D21))</f>
        <v>1</v>
      </c>
      <c r="BW22" s="22" t="b">
        <f>ISERROR(SEARCH("~?",D21))</f>
        <v>1</v>
      </c>
      <c r="BX22" s="22" t="b">
        <f>ISERROR(SEARCH("~*",D21))</f>
        <v>1</v>
      </c>
      <c r="BY22" s="22" t="b">
        <f>ISERROR(SEARCH("=",D21))</f>
        <v>1</v>
      </c>
      <c r="BZ22" s="22" t="b">
        <f>ISERROR(SEARCH("""",D21))</f>
        <v>1</v>
      </c>
      <c r="CA22" s="22" t="b">
        <f>ISERROR(SEARCH(" ",D21))</f>
        <v>1</v>
      </c>
    </row>
    <row r="23" spans="1:79" s="2" customFormat="1" ht="15.75" customHeight="1" thickBot="1">
      <c r="A23" s="40"/>
      <c r="B23" s="56"/>
      <c r="C23" s="56"/>
      <c r="D23" s="47"/>
      <c r="E23" s="40" t="s">
        <v>78</v>
      </c>
      <c r="F23" s="44"/>
      <c r="G23" s="43">
        <f>SUM(H23:AD23)</f>
        <v>0</v>
      </c>
      <c r="H23" s="46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101"/>
      <c r="AF23" s="101"/>
      <c r="AG23" s="101"/>
      <c r="AH23" s="30" t="str">
        <f>CONCATENATE(IF(H23="","",$H$8),H23)</f>
        <v/>
      </c>
      <c r="AI23" s="30" t="str">
        <f>CONCATENATE(IF(I23="","",$I$8),I23)</f>
        <v/>
      </c>
      <c r="AJ23" s="30" t="str">
        <f>CONCATENATE(IF(J23="","",$J$8),J23)</f>
        <v/>
      </c>
      <c r="AK23" s="30" t="str">
        <f>CONCATENATE(IF(K23="","",$K$8),K23)</f>
        <v/>
      </c>
      <c r="AL23" s="30" t="str">
        <f>CONCATENATE(IF(L23="","",$L$8),L23)</f>
        <v/>
      </c>
      <c r="AM23" s="30" t="str">
        <f>CONCATENATE(IF(M23="","",$M$8),M23)</f>
        <v/>
      </c>
      <c r="AN23" s="30" t="str">
        <f>CONCATENATE(IF(N23="","",$N$8),N23)</f>
        <v/>
      </c>
      <c r="AO23" s="30" t="str">
        <f>CONCATENATE(IF(R23="","",$R$8),R23)</f>
        <v/>
      </c>
      <c r="AP23" s="30" t="str">
        <f>CONCATENATE(IF(S23="","",$S$8),S23)</f>
        <v/>
      </c>
      <c r="AQ23" s="30" t="str">
        <f>CONCATENATE(IF(T23="","",$T$8),T23)</f>
        <v/>
      </c>
      <c r="AR23" s="30" t="str">
        <f>CONCATENATE(IF(U23="","",$U$8),U23)</f>
        <v/>
      </c>
      <c r="AS23" s="30" t="str">
        <f>CONCATENATE(IF(V23="","",$V$8),V23)</f>
        <v/>
      </c>
      <c r="AT23" s="30" t="str">
        <f>CONCATENATE(IF(W23="","",$W$8),W23)</f>
        <v/>
      </c>
      <c r="AU23" s="30" t="str">
        <f>CONCATENATE(IF(X23="","",$X$8),X23)</f>
        <v/>
      </c>
      <c r="AV23" s="30" t="str">
        <f>CONCATENATE(IF(Y23="","",$Y$8),Y23)</f>
        <v/>
      </c>
      <c r="AW23" s="30" t="str">
        <f>CONCATENATE(IF(Z23="","",$Z$8),Z23)</f>
        <v/>
      </c>
      <c r="AX23" s="30" t="str">
        <f>CONCATENATE(IF(AA23="","",$AA$8),AA23)</f>
        <v/>
      </c>
      <c r="AY23" s="30" t="str">
        <f>CONCATENATE(IF(AB23="","",AB$8),AB23)</f>
        <v/>
      </c>
      <c r="AZ23" s="30" t="str">
        <f>CONCATENATE(IF(AC23="","",AC$8),AC23)</f>
        <v/>
      </c>
      <c r="BA23" s="30" t="str">
        <f>CONCATENATE(IF(AD23="","",$AD$8),AD23)</f>
        <v/>
      </c>
      <c r="BB23" s="26" t="b">
        <f t="shared" si="0"/>
        <v>1</v>
      </c>
      <c r="BC23" s="23" t="b">
        <f>ISERROR(SEARCH("`",B23))</f>
        <v>1</v>
      </c>
      <c r="BD23" s="23" t="b">
        <f>ISERROR(SEARCH("&lt;",B23))</f>
        <v>1</v>
      </c>
      <c r="BE23" s="23" t="b">
        <f>ISERROR(SEARCH("&gt;",B23))</f>
        <v>1</v>
      </c>
      <c r="BF23" s="23" t="b">
        <f>ISERROR(SEARCH(":",B23))</f>
        <v>1</v>
      </c>
      <c r="BG23" s="23" t="b">
        <f>ISERROR(SEARCH(",",B23))</f>
        <v>1</v>
      </c>
      <c r="BH23" s="23" t="b">
        <f>ISERROR(SEARCH(";",B23))</f>
        <v>1</v>
      </c>
      <c r="BI23" s="23" t="b">
        <f>ISERROR(SEARCH("|",B23))</f>
        <v>1</v>
      </c>
      <c r="BJ23" s="23" t="b">
        <f>ISERROR(SEARCH("\",B23))</f>
        <v>1</v>
      </c>
      <c r="BK23" s="23" t="b">
        <f>ISERROR(SEARCH("[",B23))</f>
        <v>1</v>
      </c>
      <c r="BL23" s="23" t="b">
        <f>ISERROR(SEARCH("]",B23))</f>
        <v>1</v>
      </c>
      <c r="BM23" s="23" t="b">
        <f>ISERROR(SEARCH("{",B23))</f>
        <v>1</v>
      </c>
      <c r="BN23" s="23" t="b">
        <f>ISERROR(SEARCH("}",B23))</f>
        <v>1</v>
      </c>
      <c r="BO23" s="23" t="b">
        <f>ISERROR(SEARCH("_",B23))</f>
        <v>1</v>
      </c>
      <c r="BP23" s="23" t="b">
        <f>ISERROR(SEARCH("(",B23))</f>
        <v>1</v>
      </c>
      <c r="BQ23" s="23" t="b">
        <f>ISERROR(SEARCH(")",B23))</f>
        <v>1</v>
      </c>
      <c r="BR23" s="23" t="b">
        <f>ISERROR(SEARCH("&amp;",B23))</f>
        <v>1</v>
      </c>
      <c r="BS23" s="23" t="b">
        <f>ISERROR(SEARCH("^",B23))</f>
        <v>1</v>
      </c>
      <c r="BT23" s="23" t="b">
        <f>ISERROR(SEARCH("#",B23))</f>
        <v>1</v>
      </c>
      <c r="BU23" s="23" t="b">
        <f>ISERROR(SEARCH("@",B23))</f>
        <v>1</v>
      </c>
      <c r="BV23" s="23" t="b">
        <f>ISERROR(SEARCH("!",B23))</f>
        <v>1</v>
      </c>
      <c r="BW23" s="23" t="b">
        <f>ISERROR(SEARCH("~?",B23))</f>
        <v>1</v>
      </c>
      <c r="BX23" s="23" t="b">
        <f>ISERROR(SEARCH("~*",B23))</f>
        <v>1</v>
      </c>
      <c r="BY23" s="23" t="b">
        <f>ISERROR(SEARCH("=",B23))</f>
        <v>1</v>
      </c>
      <c r="BZ23" s="23" t="b">
        <f>ISERROR(SEARCH("""",B23))</f>
        <v>1</v>
      </c>
      <c r="CA23" s="23" t="b">
        <f>ISERROR(SEARCH(" ",B23))</f>
        <v>1</v>
      </c>
    </row>
    <row r="24" spans="1:79" s="2" customFormat="1" ht="45" customHeight="1" thickBot="1">
      <c r="A24" s="98" t="str">
        <f>CONCATENATE("*",B23,"$",D23-(DATE(YEAR(D23),1,1)-1),A23,F23,AH23,AI23,AJ23,AK23,AL23,AM23,AN23,AO23,AP23,AQ23,AR23,AS23,AT23,AU23,AV23,AW23,AX23,AY23,AZ23,BA23,"*")</f>
        <v>*$0*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139" t="str">
        <f>CONCATENATE("*",C23,"*")</f>
        <v>**</v>
      </c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1"/>
      <c r="AE24" s="101"/>
      <c r="AF24" s="101"/>
      <c r="AG24" s="101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26" t="b">
        <f t="shared" si="0"/>
        <v>1</v>
      </c>
      <c r="BC24" s="22" t="b">
        <f>ISERROR(SEARCH("`",D23))</f>
        <v>1</v>
      </c>
      <c r="BD24" s="22" t="b">
        <f>ISERROR(SEARCH("&lt;",D23))</f>
        <v>1</v>
      </c>
      <c r="BE24" s="22" t="b">
        <f>ISERROR(SEARCH("&gt;",D23))</f>
        <v>1</v>
      </c>
      <c r="BF24" s="22" t="b">
        <f>ISERROR(SEARCH(":",D23))</f>
        <v>1</v>
      </c>
      <c r="BG24" s="22" t="b">
        <f>ISERROR(SEARCH(",",D23))</f>
        <v>1</v>
      </c>
      <c r="BH24" s="22" t="b">
        <f>ISERROR(SEARCH(";",D23))</f>
        <v>1</v>
      </c>
      <c r="BI24" s="22" t="b">
        <f>ISERROR(SEARCH("|",D23))</f>
        <v>1</v>
      </c>
      <c r="BJ24" s="22" t="b">
        <f>ISERROR(SEARCH("\",D23))</f>
        <v>1</v>
      </c>
      <c r="BK24" s="22" t="b">
        <f>ISERROR(SEARCH("[",D23))</f>
        <v>1</v>
      </c>
      <c r="BL24" s="22" t="b">
        <f>ISERROR(SEARCH("]",D23))</f>
        <v>1</v>
      </c>
      <c r="BM24" s="22" t="b">
        <f>ISERROR(SEARCH("{",D23))</f>
        <v>1</v>
      </c>
      <c r="BN24" s="22" t="b">
        <f>ISERROR(SEARCH("}",D23))</f>
        <v>1</v>
      </c>
      <c r="BO24" s="22" t="b">
        <f>ISERROR(SEARCH("_",D23))</f>
        <v>1</v>
      </c>
      <c r="BP24" s="22" t="b">
        <f>ISERROR(SEARCH("(",D23))</f>
        <v>1</v>
      </c>
      <c r="BQ24" s="22" t="b">
        <f>ISERROR(SEARCH(")",D23))</f>
        <v>1</v>
      </c>
      <c r="BR24" s="22" t="b">
        <f>ISERROR(SEARCH("&amp;",D23))</f>
        <v>1</v>
      </c>
      <c r="BS24" s="22" t="b">
        <f>ISERROR(SEARCH("^",D23))</f>
        <v>1</v>
      </c>
      <c r="BT24" s="22" t="b">
        <f>ISERROR(SEARCH("#",D23))</f>
        <v>1</v>
      </c>
      <c r="BU24" s="22" t="b">
        <f>ISERROR(SEARCH("@",D23))</f>
        <v>1</v>
      </c>
      <c r="BV24" s="22" t="b">
        <f>ISERROR(SEARCH("!",D23))</f>
        <v>1</v>
      </c>
      <c r="BW24" s="22" t="b">
        <f>ISERROR(SEARCH("~?",D23))</f>
        <v>1</v>
      </c>
      <c r="BX24" s="22" t="b">
        <f>ISERROR(SEARCH("~*",D23))</f>
        <v>1</v>
      </c>
      <c r="BY24" s="22" t="b">
        <f>ISERROR(SEARCH("=",D23))</f>
        <v>1</v>
      </c>
      <c r="BZ24" s="22" t="b">
        <f>ISERROR(SEARCH("""",D23))</f>
        <v>1</v>
      </c>
      <c r="CA24" s="22" t="b">
        <f>ISERROR(SEARCH(" ",D23))</f>
        <v>1</v>
      </c>
    </row>
    <row r="25" spans="1:79" s="2" customFormat="1" ht="15.75" customHeight="1" thickBot="1">
      <c r="A25" s="40"/>
      <c r="B25" s="56"/>
      <c r="C25" s="56"/>
      <c r="D25" s="47"/>
      <c r="E25" s="40" t="s">
        <v>78</v>
      </c>
      <c r="F25" s="44"/>
      <c r="G25" s="43">
        <f>SUM(H25:AD25)</f>
        <v>0</v>
      </c>
      <c r="H25" s="46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101"/>
      <c r="AF25" s="101"/>
      <c r="AG25" s="101"/>
      <c r="AH25" s="30" t="str">
        <f>CONCATENATE(IF(H25="","",$H$8),H25)</f>
        <v/>
      </c>
      <c r="AI25" s="30" t="str">
        <f>CONCATENATE(IF(I25="","",$I$8),I25)</f>
        <v/>
      </c>
      <c r="AJ25" s="30" t="str">
        <f>CONCATENATE(IF(J25="","",$J$8),J25)</f>
        <v/>
      </c>
      <c r="AK25" s="30" t="str">
        <f>CONCATENATE(IF(K25="","",$K$8),K25)</f>
        <v/>
      </c>
      <c r="AL25" s="30" t="str">
        <f>CONCATENATE(IF(L25="","",$L$8),L25)</f>
        <v/>
      </c>
      <c r="AM25" s="30" t="str">
        <f>CONCATENATE(IF(M25="","",$M$8),M25)</f>
        <v/>
      </c>
      <c r="AN25" s="30" t="str">
        <f>CONCATENATE(IF(N25="","",$N$8),N25)</f>
        <v/>
      </c>
      <c r="AO25" s="30" t="str">
        <f>CONCATENATE(IF(R25="","",$R$8),R25)</f>
        <v/>
      </c>
      <c r="AP25" s="30" t="str">
        <f>CONCATENATE(IF(S25="","",$S$8),S25)</f>
        <v/>
      </c>
      <c r="AQ25" s="30" t="str">
        <f>CONCATENATE(IF(T25="","",$T$8),T25)</f>
        <v/>
      </c>
      <c r="AR25" s="30" t="str">
        <f>CONCATENATE(IF(U25="","",$U$8),U25)</f>
        <v/>
      </c>
      <c r="AS25" s="30" t="str">
        <f>CONCATENATE(IF(V25="","",$V$8),V25)</f>
        <v/>
      </c>
      <c r="AT25" s="30" t="str">
        <f>CONCATENATE(IF(W25="","",$W$8),W25)</f>
        <v/>
      </c>
      <c r="AU25" s="30" t="str">
        <f>CONCATENATE(IF(X25="","",$X$8),X25)</f>
        <v/>
      </c>
      <c r="AV25" s="30" t="str">
        <f>CONCATENATE(IF(Y25="","",$Y$8),Y25)</f>
        <v/>
      </c>
      <c r="AW25" s="30" t="str">
        <f>CONCATENATE(IF(Z25="","",$Z$8),Z25)</f>
        <v/>
      </c>
      <c r="AX25" s="30" t="str">
        <f>CONCATENATE(IF(AA25="","",$AA$8),AA25)</f>
        <v/>
      </c>
      <c r="AY25" s="30" t="str">
        <f>CONCATENATE(IF(AB25="","",AB$8),AB25)</f>
        <v/>
      </c>
      <c r="AZ25" s="30" t="str">
        <f>CONCATENATE(IF(AC25="","",AC$8),AC25)</f>
        <v/>
      </c>
      <c r="BA25" s="30" t="str">
        <f>CONCATENATE(IF(AD25="","",$AD$8),AD25)</f>
        <v/>
      </c>
      <c r="BB25" s="26" t="b">
        <f t="shared" si="0"/>
        <v>1</v>
      </c>
      <c r="BC25" s="23" t="b">
        <f>ISERROR(SEARCH("`",B25))</f>
        <v>1</v>
      </c>
      <c r="BD25" s="23" t="b">
        <f>ISERROR(SEARCH("&lt;",B25))</f>
        <v>1</v>
      </c>
      <c r="BE25" s="23" t="b">
        <f>ISERROR(SEARCH("&gt;",B25))</f>
        <v>1</v>
      </c>
      <c r="BF25" s="23" t="b">
        <f>ISERROR(SEARCH(":",B25))</f>
        <v>1</v>
      </c>
      <c r="BG25" s="23" t="b">
        <f>ISERROR(SEARCH(",",B25))</f>
        <v>1</v>
      </c>
      <c r="BH25" s="23" t="b">
        <f>ISERROR(SEARCH(";",B25))</f>
        <v>1</v>
      </c>
      <c r="BI25" s="23" t="b">
        <f>ISERROR(SEARCH("|",B25))</f>
        <v>1</v>
      </c>
      <c r="BJ25" s="23" t="b">
        <f>ISERROR(SEARCH("\",B25))</f>
        <v>1</v>
      </c>
      <c r="BK25" s="23" t="b">
        <f>ISERROR(SEARCH("[",B25))</f>
        <v>1</v>
      </c>
      <c r="BL25" s="23" t="b">
        <f>ISERROR(SEARCH("]",B25))</f>
        <v>1</v>
      </c>
      <c r="BM25" s="23" t="b">
        <f>ISERROR(SEARCH("{",B25))</f>
        <v>1</v>
      </c>
      <c r="BN25" s="23" t="b">
        <f>ISERROR(SEARCH("}",B25))</f>
        <v>1</v>
      </c>
      <c r="BO25" s="23" t="b">
        <f>ISERROR(SEARCH("_",B25))</f>
        <v>1</v>
      </c>
      <c r="BP25" s="23" t="b">
        <f>ISERROR(SEARCH("(",B25))</f>
        <v>1</v>
      </c>
      <c r="BQ25" s="23" t="b">
        <f>ISERROR(SEARCH(")",B25))</f>
        <v>1</v>
      </c>
      <c r="BR25" s="23" t="b">
        <f>ISERROR(SEARCH("&amp;",B25))</f>
        <v>1</v>
      </c>
      <c r="BS25" s="23" t="b">
        <f>ISERROR(SEARCH("^",B25))</f>
        <v>1</v>
      </c>
      <c r="BT25" s="23" t="b">
        <f>ISERROR(SEARCH("#",B25))</f>
        <v>1</v>
      </c>
      <c r="BU25" s="23" t="b">
        <f>ISERROR(SEARCH("@",B25))</f>
        <v>1</v>
      </c>
      <c r="BV25" s="23" t="b">
        <f>ISERROR(SEARCH("!",B25))</f>
        <v>1</v>
      </c>
      <c r="BW25" s="23" t="b">
        <f>ISERROR(SEARCH("~?",B25))</f>
        <v>1</v>
      </c>
      <c r="BX25" s="23" t="b">
        <f>ISERROR(SEARCH("~*",B25))</f>
        <v>1</v>
      </c>
      <c r="BY25" s="23" t="b">
        <f>ISERROR(SEARCH("=",B25))</f>
        <v>1</v>
      </c>
      <c r="BZ25" s="23" t="b">
        <f>ISERROR(SEARCH("""",B25))</f>
        <v>1</v>
      </c>
      <c r="CA25" s="23" t="b">
        <f>ISERROR(SEARCH(" ",B25))</f>
        <v>1</v>
      </c>
    </row>
    <row r="26" spans="1:79" s="2" customFormat="1" ht="45" customHeight="1" thickBot="1">
      <c r="A26" s="144" t="str">
        <f>CONCATENATE("*",B25,"$",D25-(DATE(YEAR(D25),1,1)-1),A25,F25,AH25,AI25,AJ25,AK25,AL25,AM25,AN25,AO25,AP25,AQ25,AR25,AS25,AT25,AU25,AV25,AW25,AX25,AY25,AZ25,BA25,"*")</f>
        <v>*$0*</v>
      </c>
      <c r="B26" s="140"/>
      <c r="C26" s="140"/>
      <c r="D26" s="140"/>
      <c r="E26" s="140"/>
      <c r="F26" s="140"/>
      <c r="G26" s="145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39" t="str">
        <f>CONCATENATE("*",C25,"*")</f>
        <v>**</v>
      </c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1"/>
      <c r="AE26" s="101"/>
      <c r="AF26" s="101"/>
      <c r="AG26" s="101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26" t="b">
        <f t="shared" si="0"/>
        <v>1</v>
      </c>
      <c r="BC26" s="22" t="b">
        <f>ISERROR(SEARCH("`",D25))</f>
        <v>1</v>
      </c>
      <c r="BD26" s="22" t="b">
        <f>ISERROR(SEARCH("&lt;",D25))</f>
        <v>1</v>
      </c>
      <c r="BE26" s="22" t="b">
        <f>ISERROR(SEARCH("&gt;",D25))</f>
        <v>1</v>
      </c>
      <c r="BF26" s="22" t="b">
        <f>ISERROR(SEARCH(":",D25))</f>
        <v>1</v>
      </c>
      <c r="BG26" s="22" t="b">
        <f>ISERROR(SEARCH(",",D25))</f>
        <v>1</v>
      </c>
      <c r="BH26" s="22" t="b">
        <f>ISERROR(SEARCH(";",D25))</f>
        <v>1</v>
      </c>
      <c r="BI26" s="22" t="b">
        <f>ISERROR(SEARCH("|",D25))</f>
        <v>1</v>
      </c>
      <c r="BJ26" s="22" t="b">
        <f>ISERROR(SEARCH("\",D25))</f>
        <v>1</v>
      </c>
      <c r="BK26" s="22" t="b">
        <f>ISERROR(SEARCH("[",D25))</f>
        <v>1</v>
      </c>
      <c r="BL26" s="22" t="b">
        <f>ISERROR(SEARCH("]",D25))</f>
        <v>1</v>
      </c>
      <c r="BM26" s="22" t="b">
        <f>ISERROR(SEARCH("{",D25))</f>
        <v>1</v>
      </c>
      <c r="BN26" s="22" t="b">
        <f>ISERROR(SEARCH("}",D25))</f>
        <v>1</v>
      </c>
      <c r="BO26" s="22" t="b">
        <f>ISERROR(SEARCH("_",D25))</f>
        <v>1</v>
      </c>
      <c r="BP26" s="22" t="b">
        <f>ISERROR(SEARCH("(",D25))</f>
        <v>1</v>
      </c>
      <c r="BQ26" s="22" t="b">
        <f>ISERROR(SEARCH(")",D25))</f>
        <v>1</v>
      </c>
      <c r="BR26" s="22" t="b">
        <f>ISERROR(SEARCH("&amp;",D25))</f>
        <v>1</v>
      </c>
      <c r="BS26" s="22" t="b">
        <f>ISERROR(SEARCH("^",D25))</f>
        <v>1</v>
      </c>
      <c r="BT26" s="22" t="b">
        <f>ISERROR(SEARCH("#",D25))</f>
        <v>1</v>
      </c>
      <c r="BU26" s="22" t="b">
        <f>ISERROR(SEARCH("@",D25))</f>
        <v>1</v>
      </c>
      <c r="BV26" s="22" t="b">
        <f>ISERROR(SEARCH("!",D25))</f>
        <v>1</v>
      </c>
      <c r="BW26" s="22" t="b">
        <f>ISERROR(SEARCH("~?",D25))</f>
        <v>1</v>
      </c>
      <c r="BX26" s="22" t="b">
        <f>ISERROR(SEARCH("~*",D25))</f>
        <v>1</v>
      </c>
      <c r="BY26" s="22" t="b">
        <f>ISERROR(SEARCH("=",D25))</f>
        <v>1</v>
      </c>
      <c r="BZ26" s="22" t="b">
        <f>ISERROR(SEARCH("""",D25))</f>
        <v>1</v>
      </c>
      <c r="CA26" s="22" t="b">
        <f>ISERROR(SEARCH(" ",D25))</f>
        <v>1</v>
      </c>
    </row>
    <row r="27" spans="1:79" s="2" customFormat="1" ht="15.75" customHeight="1" thickBot="1">
      <c r="A27" s="40"/>
      <c r="B27" s="56"/>
      <c r="C27" s="56"/>
      <c r="D27" s="47"/>
      <c r="E27" s="40" t="s">
        <v>78</v>
      </c>
      <c r="F27" s="44"/>
      <c r="G27" s="43">
        <f>SUM(H27:AD27)</f>
        <v>0</v>
      </c>
      <c r="H27" s="46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108"/>
      <c r="AF27" s="109"/>
      <c r="AG27" s="110"/>
      <c r="AH27" s="30" t="str">
        <f>CONCATENATE(IF(H27="","",$H$8),H27)</f>
        <v/>
      </c>
      <c r="AI27" s="30" t="str">
        <f>CONCATENATE(IF(I27="","",$I$8),I27)</f>
        <v/>
      </c>
      <c r="AJ27" s="30" t="str">
        <f>CONCATENATE(IF(J27="","",$J$8),J27)</f>
        <v/>
      </c>
      <c r="AK27" s="30" t="str">
        <f>CONCATENATE(IF(K27="","",$K$8),K27)</f>
        <v/>
      </c>
      <c r="AL27" s="30" t="str">
        <f>CONCATENATE(IF(L27="","",$L$8),L27)</f>
        <v/>
      </c>
      <c r="AM27" s="30" t="str">
        <f>CONCATENATE(IF(M27="","",$M$8),M27)</f>
        <v/>
      </c>
      <c r="AN27" s="30" t="str">
        <f>CONCATENATE(IF(N27="","",$N$8),N27)</f>
        <v/>
      </c>
      <c r="AO27" s="30" t="str">
        <f>CONCATENATE(IF(R27="","",$R$8),R27)</f>
        <v/>
      </c>
      <c r="AP27" s="30" t="str">
        <f>CONCATENATE(IF(S27="","",$S$8),S27)</f>
        <v/>
      </c>
      <c r="AQ27" s="30" t="str">
        <f>CONCATENATE(IF(T27="","",$T$8),T27)</f>
        <v/>
      </c>
      <c r="AR27" s="30" t="str">
        <f>CONCATENATE(IF(U27="","",$U$8),U27)</f>
        <v/>
      </c>
      <c r="AS27" s="30" t="str">
        <f>CONCATENATE(IF(V27="","",$V$8),V27)</f>
        <v/>
      </c>
      <c r="AT27" s="30" t="str">
        <f>CONCATENATE(IF(W27="","",$W$8),W27)</f>
        <v/>
      </c>
      <c r="AU27" s="30" t="str">
        <f>CONCATENATE(IF(X27="","",$X$8),X27)</f>
        <v/>
      </c>
      <c r="AV27" s="30" t="str">
        <f>CONCATENATE(IF(Y27="","",$Y$8),Y27)</f>
        <v/>
      </c>
      <c r="AW27" s="30" t="str">
        <f>CONCATENATE(IF(Z27="","",$Z$8),Z27)</f>
        <v/>
      </c>
      <c r="AX27" s="30" t="str">
        <f>CONCATENATE(IF(AA27="","",$AA$8),AA27)</f>
        <v/>
      </c>
      <c r="AY27" s="30" t="str">
        <f>CONCATENATE(IF(AB27="","",AB$8),AB27)</f>
        <v/>
      </c>
      <c r="AZ27" s="30" t="str">
        <f>CONCATENATE(IF(AC27="","",AC$8),AC27)</f>
        <v/>
      </c>
      <c r="BA27" s="30" t="str">
        <f>CONCATENATE(IF(AD27="","",$AD$8),AD27)</f>
        <v/>
      </c>
      <c r="BB27" s="26" t="b">
        <f t="shared" si="0"/>
        <v>1</v>
      </c>
      <c r="BC27" s="23" t="b">
        <f>ISERROR(SEARCH("`",B27))</f>
        <v>1</v>
      </c>
      <c r="BD27" s="23" t="b">
        <f>ISERROR(SEARCH("&lt;",B27))</f>
        <v>1</v>
      </c>
      <c r="BE27" s="23" t="b">
        <f>ISERROR(SEARCH("&gt;",B27))</f>
        <v>1</v>
      </c>
      <c r="BF27" s="23" t="b">
        <f>ISERROR(SEARCH(":",B27))</f>
        <v>1</v>
      </c>
      <c r="BG27" s="23" t="b">
        <f>ISERROR(SEARCH(",",B27))</f>
        <v>1</v>
      </c>
      <c r="BH27" s="23" t="b">
        <f>ISERROR(SEARCH(";",B27))</f>
        <v>1</v>
      </c>
      <c r="BI27" s="23" t="b">
        <f>ISERROR(SEARCH("|",B27))</f>
        <v>1</v>
      </c>
      <c r="BJ27" s="23" t="b">
        <f>ISERROR(SEARCH("\",B27))</f>
        <v>1</v>
      </c>
      <c r="BK27" s="23" t="b">
        <f>ISERROR(SEARCH("[",B27))</f>
        <v>1</v>
      </c>
      <c r="BL27" s="23" t="b">
        <f>ISERROR(SEARCH("]",B27))</f>
        <v>1</v>
      </c>
      <c r="BM27" s="23" t="b">
        <f>ISERROR(SEARCH("{",B27))</f>
        <v>1</v>
      </c>
      <c r="BN27" s="23" t="b">
        <f>ISERROR(SEARCH("}",B27))</f>
        <v>1</v>
      </c>
      <c r="BO27" s="23" t="b">
        <f>ISERROR(SEARCH("_",B27))</f>
        <v>1</v>
      </c>
      <c r="BP27" s="23" t="b">
        <f>ISERROR(SEARCH("(",B27))</f>
        <v>1</v>
      </c>
      <c r="BQ27" s="23" t="b">
        <f>ISERROR(SEARCH(")",B27))</f>
        <v>1</v>
      </c>
      <c r="BR27" s="23" t="b">
        <f>ISERROR(SEARCH("&amp;",B27))</f>
        <v>1</v>
      </c>
      <c r="BS27" s="23" t="b">
        <f>ISERROR(SEARCH("^",B27))</f>
        <v>1</v>
      </c>
      <c r="BT27" s="23" t="b">
        <f>ISERROR(SEARCH("#",B27))</f>
        <v>1</v>
      </c>
      <c r="BU27" s="23" t="b">
        <f>ISERROR(SEARCH("@",B27))</f>
        <v>1</v>
      </c>
      <c r="BV27" s="23" t="b">
        <f>ISERROR(SEARCH("!",B27))</f>
        <v>1</v>
      </c>
      <c r="BW27" s="23" t="b">
        <f>ISERROR(SEARCH("~?",B27))</f>
        <v>1</v>
      </c>
      <c r="BX27" s="23" t="b">
        <f>ISERROR(SEARCH("~*",B27))</f>
        <v>1</v>
      </c>
      <c r="BY27" s="23" t="b">
        <f>ISERROR(SEARCH("=",B27))</f>
        <v>1</v>
      </c>
      <c r="BZ27" s="23" t="b">
        <f>ISERROR(SEARCH("""",B27))</f>
        <v>1</v>
      </c>
      <c r="CA27" s="23" t="b">
        <f>ISERROR(SEARCH(" ",B27))</f>
        <v>1</v>
      </c>
    </row>
    <row r="28" spans="1:79" s="2" customFormat="1" ht="45" customHeight="1" thickBot="1">
      <c r="A28" s="144" t="str">
        <f>CONCATENATE("*",B27,"$",D27-(DATE(YEAR(D27),1,1)-1),A27,F27,AH27,AI27,AJ27,AK27,AL27,AM27,AN27,AO27,AP27,AQ27,AR27,AS27,AT27,AU27,AV27,AW27,AX27,AY27,AZ27,BA27,"*")</f>
        <v>*$0*</v>
      </c>
      <c r="B28" s="140"/>
      <c r="C28" s="140"/>
      <c r="D28" s="140"/>
      <c r="E28" s="140"/>
      <c r="F28" s="140"/>
      <c r="G28" s="145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39" t="str">
        <f>CONCATENATE("*",C27,"*")</f>
        <v>**</v>
      </c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1"/>
      <c r="AE28" s="111"/>
      <c r="AF28" s="112"/>
      <c r="AG28" s="113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26" t="b">
        <f t="shared" si="0"/>
        <v>1</v>
      </c>
      <c r="BC28" s="22" t="b">
        <f>ISERROR(SEARCH("`",D27))</f>
        <v>1</v>
      </c>
      <c r="BD28" s="22" t="b">
        <f>ISERROR(SEARCH("&lt;",D27))</f>
        <v>1</v>
      </c>
      <c r="BE28" s="22" t="b">
        <f>ISERROR(SEARCH("&gt;",D27))</f>
        <v>1</v>
      </c>
      <c r="BF28" s="22" t="b">
        <f>ISERROR(SEARCH(":",D27))</f>
        <v>1</v>
      </c>
      <c r="BG28" s="22" t="b">
        <f>ISERROR(SEARCH(",",D27))</f>
        <v>1</v>
      </c>
      <c r="BH28" s="22" t="b">
        <f>ISERROR(SEARCH(";",D27))</f>
        <v>1</v>
      </c>
      <c r="BI28" s="22" t="b">
        <f>ISERROR(SEARCH("|",D27))</f>
        <v>1</v>
      </c>
      <c r="BJ28" s="22" t="b">
        <f>ISERROR(SEARCH("\",D27))</f>
        <v>1</v>
      </c>
      <c r="BK28" s="22" t="b">
        <f>ISERROR(SEARCH("[",D27))</f>
        <v>1</v>
      </c>
      <c r="BL28" s="22" t="b">
        <f>ISERROR(SEARCH("]",D27))</f>
        <v>1</v>
      </c>
      <c r="BM28" s="22" t="b">
        <f>ISERROR(SEARCH("{",D27))</f>
        <v>1</v>
      </c>
      <c r="BN28" s="22" t="b">
        <f>ISERROR(SEARCH("}",D27))</f>
        <v>1</v>
      </c>
      <c r="BO28" s="22" t="b">
        <f>ISERROR(SEARCH("_",D27))</f>
        <v>1</v>
      </c>
      <c r="BP28" s="22" t="b">
        <f>ISERROR(SEARCH("(",D27))</f>
        <v>1</v>
      </c>
      <c r="BQ28" s="22" t="b">
        <f>ISERROR(SEARCH(")",D27))</f>
        <v>1</v>
      </c>
      <c r="BR28" s="22" t="b">
        <f>ISERROR(SEARCH("&amp;",D27))</f>
        <v>1</v>
      </c>
      <c r="BS28" s="22" t="b">
        <f>ISERROR(SEARCH("^",D27))</f>
        <v>1</v>
      </c>
      <c r="BT28" s="22" t="b">
        <f>ISERROR(SEARCH("#",D27))</f>
        <v>1</v>
      </c>
      <c r="BU28" s="22" t="b">
        <f>ISERROR(SEARCH("@",D27))</f>
        <v>1</v>
      </c>
      <c r="BV28" s="22" t="b">
        <f>ISERROR(SEARCH("!",D27))</f>
        <v>1</v>
      </c>
      <c r="BW28" s="22" t="b">
        <f>ISERROR(SEARCH("~?",D27))</f>
        <v>1</v>
      </c>
      <c r="BX28" s="22" t="b">
        <f>ISERROR(SEARCH("~*",D27))</f>
        <v>1</v>
      </c>
      <c r="BY28" s="22" t="b">
        <f>ISERROR(SEARCH("=",D27))</f>
        <v>1</v>
      </c>
      <c r="BZ28" s="22" t="b">
        <f>ISERROR(SEARCH("""",D27))</f>
        <v>1</v>
      </c>
      <c r="CA28" s="22" t="b">
        <f>ISERROR(SEARCH(" ",D27))</f>
        <v>1</v>
      </c>
    </row>
    <row r="29" spans="1:79" s="2" customFormat="1" ht="15.75" customHeight="1" thickBot="1">
      <c r="A29" s="40"/>
      <c r="B29" s="56"/>
      <c r="C29" s="56"/>
      <c r="D29" s="47"/>
      <c r="E29" s="40" t="s">
        <v>78</v>
      </c>
      <c r="F29" s="44"/>
      <c r="G29" s="43">
        <f>SUM(H29:AD29)</f>
        <v>0</v>
      </c>
      <c r="H29" s="46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108"/>
      <c r="AF29" s="109"/>
      <c r="AG29" s="110"/>
      <c r="AH29" s="30" t="str">
        <f>CONCATENATE(IF(H29="","",$H$8),H29)</f>
        <v/>
      </c>
      <c r="AI29" s="30" t="str">
        <f>CONCATENATE(IF(I29="","",$I$8),I29)</f>
        <v/>
      </c>
      <c r="AJ29" s="30" t="str">
        <f>CONCATENATE(IF(J29="","",$J$8),J29)</f>
        <v/>
      </c>
      <c r="AK29" s="30" t="str">
        <f>CONCATENATE(IF(K29="","",$K$8),K29)</f>
        <v/>
      </c>
      <c r="AL29" s="30" t="str">
        <f>CONCATENATE(IF(L29="","",$L$8),L29)</f>
        <v/>
      </c>
      <c r="AM29" s="30" t="str">
        <f>CONCATENATE(IF(M29="","",$M$8),M29)</f>
        <v/>
      </c>
      <c r="AN29" s="30" t="str">
        <f>CONCATENATE(IF(N29="","",$N$8),N29)</f>
        <v/>
      </c>
      <c r="AO29" s="30" t="str">
        <f>CONCATENATE(IF(R29="","",$R$8),R29)</f>
        <v/>
      </c>
      <c r="AP29" s="30" t="str">
        <f>CONCATENATE(IF(S29="","",$S$8),S29)</f>
        <v/>
      </c>
      <c r="AQ29" s="30" t="str">
        <f>CONCATENATE(IF(T29="","",$T$8),T29)</f>
        <v/>
      </c>
      <c r="AR29" s="30" t="str">
        <f>CONCATENATE(IF(U29="","",$U$8),U29)</f>
        <v/>
      </c>
      <c r="AS29" s="30" t="str">
        <f>CONCATENATE(IF(V29="","",$V$8),V29)</f>
        <v/>
      </c>
      <c r="AT29" s="30" t="str">
        <f>CONCATENATE(IF(W29="","",$W$8),W29)</f>
        <v/>
      </c>
      <c r="AU29" s="30" t="str">
        <f>CONCATENATE(IF(X29="","",$X$8),X29)</f>
        <v/>
      </c>
      <c r="AV29" s="30" t="str">
        <f>CONCATENATE(IF(Y29="","",$Y$8),Y29)</f>
        <v/>
      </c>
      <c r="AW29" s="30" t="str">
        <f>CONCATENATE(IF(Z29="","",$Z$8),Z29)</f>
        <v/>
      </c>
      <c r="AX29" s="30" t="str">
        <f>CONCATENATE(IF(AA29="","",$AA$8),AA29)</f>
        <v/>
      </c>
      <c r="AY29" s="30" t="str">
        <f>CONCATENATE(IF(AB29="","",AB$8),AB29)</f>
        <v/>
      </c>
      <c r="AZ29" s="30" t="str">
        <f>CONCATENATE(IF(AC29="","",AC$8),AC29)</f>
        <v/>
      </c>
      <c r="BA29" s="30" t="str">
        <f>CONCATENATE(IF(AD29="","",$AD$8),AD29)</f>
        <v/>
      </c>
      <c r="BB29" s="26" t="b">
        <f t="shared" si="0"/>
        <v>1</v>
      </c>
      <c r="BC29" s="23" t="b">
        <f>ISERROR(SEARCH("`",B29))</f>
        <v>1</v>
      </c>
      <c r="BD29" s="23" t="b">
        <f>ISERROR(SEARCH("&lt;",B29))</f>
        <v>1</v>
      </c>
      <c r="BE29" s="23" t="b">
        <f>ISERROR(SEARCH("&gt;",B29))</f>
        <v>1</v>
      </c>
      <c r="BF29" s="23" t="b">
        <f>ISERROR(SEARCH(":",B29))</f>
        <v>1</v>
      </c>
      <c r="BG29" s="23" t="b">
        <f>ISERROR(SEARCH(",",B29))</f>
        <v>1</v>
      </c>
      <c r="BH29" s="23" t="b">
        <f>ISERROR(SEARCH(";",B29))</f>
        <v>1</v>
      </c>
      <c r="BI29" s="23" t="b">
        <f>ISERROR(SEARCH("|",B29))</f>
        <v>1</v>
      </c>
      <c r="BJ29" s="23" t="b">
        <f>ISERROR(SEARCH("\",B29))</f>
        <v>1</v>
      </c>
      <c r="BK29" s="23" t="b">
        <f>ISERROR(SEARCH("[",B29))</f>
        <v>1</v>
      </c>
      <c r="BL29" s="23" t="b">
        <f>ISERROR(SEARCH("]",B29))</f>
        <v>1</v>
      </c>
      <c r="BM29" s="23" t="b">
        <f>ISERROR(SEARCH("{",B29))</f>
        <v>1</v>
      </c>
      <c r="BN29" s="23" t="b">
        <f>ISERROR(SEARCH("}",B29))</f>
        <v>1</v>
      </c>
      <c r="BO29" s="23" t="b">
        <f>ISERROR(SEARCH("_",B29))</f>
        <v>1</v>
      </c>
      <c r="BP29" s="23" t="b">
        <f>ISERROR(SEARCH("(",B29))</f>
        <v>1</v>
      </c>
      <c r="BQ29" s="23" t="b">
        <f>ISERROR(SEARCH(")",B29))</f>
        <v>1</v>
      </c>
      <c r="BR29" s="23" t="b">
        <f>ISERROR(SEARCH("&amp;",B29))</f>
        <v>1</v>
      </c>
      <c r="BS29" s="23" t="b">
        <f>ISERROR(SEARCH("^",B29))</f>
        <v>1</v>
      </c>
      <c r="BT29" s="23" t="b">
        <f>ISERROR(SEARCH("#",B29))</f>
        <v>1</v>
      </c>
      <c r="BU29" s="23" t="b">
        <f>ISERROR(SEARCH("@",B29))</f>
        <v>1</v>
      </c>
      <c r="BV29" s="23" t="b">
        <f>ISERROR(SEARCH("!",B29))</f>
        <v>1</v>
      </c>
      <c r="BW29" s="23" t="b">
        <f>ISERROR(SEARCH("~?",B29))</f>
        <v>1</v>
      </c>
      <c r="BX29" s="23" t="b">
        <f>ISERROR(SEARCH("~*",B29))</f>
        <v>1</v>
      </c>
      <c r="BY29" s="23" t="b">
        <f>ISERROR(SEARCH("=",B29))</f>
        <v>1</v>
      </c>
      <c r="BZ29" s="23" t="b">
        <f>ISERROR(SEARCH("""",B29))</f>
        <v>1</v>
      </c>
      <c r="CA29" s="23" t="b">
        <f>ISERROR(SEARCH(" ",B29))</f>
        <v>1</v>
      </c>
    </row>
    <row r="30" spans="1:79" s="2" customFormat="1" ht="45" customHeight="1" thickBot="1">
      <c r="A30" s="144" t="str">
        <f>CONCATENATE("*",B29,"$",D29-(DATE(YEAR(D29),1,1)-1),A29,F29,AH29,AI29,AJ29,AK29,AL29,AM29,AN29,AO29,AP29,AQ29,AR29,AS29,AT29,AU29,AV29,AW29,AX29,AY29,AZ29,BA29,"*")</f>
        <v>*$0*</v>
      </c>
      <c r="B30" s="140"/>
      <c r="C30" s="140"/>
      <c r="D30" s="140"/>
      <c r="E30" s="140"/>
      <c r="F30" s="140"/>
      <c r="G30" s="145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39" t="str">
        <f>CONCATENATE("*",C29,"*")</f>
        <v>**</v>
      </c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1"/>
      <c r="AE30" s="111"/>
      <c r="AF30" s="112"/>
      <c r="AG30" s="113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26" t="b">
        <f t="shared" si="0"/>
        <v>1</v>
      </c>
      <c r="BC30" s="22" t="b">
        <f>ISERROR(SEARCH("`",D29))</f>
        <v>1</v>
      </c>
      <c r="BD30" s="22" t="b">
        <f>ISERROR(SEARCH("&lt;",D29))</f>
        <v>1</v>
      </c>
      <c r="BE30" s="22" t="b">
        <f>ISERROR(SEARCH("&gt;",D29))</f>
        <v>1</v>
      </c>
      <c r="BF30" s="22" t="b">
        <f>ISERROR(SEARCH(":",D29))</f>
        <v>1</v>
      </c>
      <c r="BG30" s="22" t="b">
        <f>ISERROR(SEARCH(",",D29))</f>
        <v>1</v>
      </c>
      <c r="BH30" s="22" t="b">
        <f>ISERROR(SEARCH(";",D29))</f>
        <v>1</v>
      </c>
      <c r="BI30" s="22" t="b">
        <f>ISERROR(SEARCH("|",D29))</f>
        <v>1</v>
      </c>
      <c r="BJ30" s="22" t="b">
        <f>ISERROR(SEARCH("\",D29))</f>
        <v>1</v>
      </c>
      <c r="BK30" s="22" t="b">
        <f>ISERROR(SEARCH("[",D29))</f>
        <v>1</v>
      </c>
      <c r="BL30" s="22" t="b">
        <f>ISERROR(SEARCH("]",D29))</f>
        <v>1</v>
      </c>
      <c r="BM30" s="22" t="b">
        <f>ISERROR(SEARCH("{",D29))</f>
        <v>1</v>
      </c>
      <c r="BN30" s="22" t="b">
        <f>ISERROR(SEARCH("}",D29))</f>
        <v>1</v>
      </c>
      <c r="BO30" s="22" t="b">
        <f>ISERROR(SEARCH("_",D29))</f>
        <v>1</v>
      </c>
      <c r="BP30" s="22" t="b">
        <f>ISERROR(SEARCH("(",D29))</f>
        <v>1</v>
      </c>
      <c r="BQ30" s="22" t="b">
        <f>ISERROR(SEARCH(")",D29))</f>
        <v>1</v>
      </c>
      <c r="BR30" s="22" t="b">
        <f>ISERROR(SEARCH("&amp;",D29))</f>
        <v>1</v>
      </c>
      <c r="BS30" s="22" t="b">
        <f>ISERROR(SEARCH("^",D29))</f>
        <v>1</v>
      </c>
      <c r="BT30" s="22" t="b">
        <f>ISERROR(SEARCH("#",D29))</f>
        <v>1</v>
      </c>
      <c r="BU30" s="22" t="b">
        <f>ISERROR(SEARCH("@",D29))</f>
        <v>1</v>
      </c>
      <c r="BV30" s="22" t="b">
        <f>ISERROR(SEARCH("!",D29))</f>
        <v>1</v>
      </c>
      <c r="BW30" s="22" t="b">
        <f>ISERROR(SEARCH("~?",D29))</f>
        <v>1</v>
      </c>
      <c r="BX30" s="22" t="b">
        <f>ISERROR(SEARCH("~*",D29))</f>
        <v>1</v>
      </c>
      <c r="BY30" s="22" t="b">
        <f>ISERROR(SEARCH("=",D29))</f>
        <v>1</v>
      </c>
      <c r="BZ30" s="22" t="b">
        <f>ISERROR(SEARCH("""",D29))</f>
        <v>1</v>
      </c>
      <c r="CA30" s="22" t="b">
        <f>ISERROR(SEARCH(" ",D29))</f>
        <v>1</v>
      </c>
    </row>
    <row r="31" spans="1:79" s="2" customFormat="1" ht="15.75" customHeight="1" thickBot="1">
      <c r="A31" s="40"/>
      <c r="B31" s="56"/>
      <c r="C31" s="56"/>
      <c r="D31" s="47"/>
      <c r="E31" s="40" t="s">
        <v>78</v>
      </c>
      <c r="F31" s="44"/>
      <c r="G31" s="43">
        <f>SUM(H31:AD31)</f>
        <v>0</v>
      </c>
      <c r="H31" s="46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108"/>
      <c r="AF31" s="109"/>
      <c r="AG31" s="110"/>
      <c r="AH31" s="30" t="str">
        <f>CONCATENATE(IF(H31="","",$H$8),H31)</f>
        <v/>
      </c>
      <c r="AI31" s="30" t="str">
        <f>CONCATENATE(IF(I31="","",$I$8),I31)</f>
        <v/>
      </c>
      <c r="AJ31" s="30"/>
      <c r="AK31" s="30"/>
      <c r="AL31" s="30" t="str">
        <f>CONCATENATE(IF(L31="","",$L$8),L31)</f>
        <v/>
      </c>
      <c r="AM31" s="30" t="str">
        <f>CONCATENATE(IF(M31="","",$M$8),M31)</f>
        <v/>
      </c>
      <c r="AN31" s="30" t="str">
        <f>CONCATENATE(IF(N31="","",$N$8),N31)</f>
        <v/>
      </c>
      <c r="AO31" s="30" t="str">
        <f>CONCATENATE(IF(R31="","",$R$8),R31)</f>
        <v/>
      </c>
      <c r="AP31" s="30" t="str">
        <f>CONCATENATE(IF(S31="","",$S$8),S31)</f>
        <v/>
      </c>
      <c r="AQ31" s="30" t="str">
        <f>CONCATENATE(IF(T31="","",$T$8),T31)</f>
        <v/>
      </c>
      <c r="AR31" s="30" t="str">
        <f>CONCATENATE(IF(U31="","",$U$8),U31)</f>
        <v/>
      </c>
      <c r="AS31" s="30" t="str">
        <f>CONCATENATE(IF(V31="","",$V$8),V31)</f>
        <v/>
      </c>
      <c r="AT31" s="30" t="str">
        <f>CONCATENATE(IF(W31="","",$W$8),W31)</f>
        <v/>
      </c>
      <c r="AU31" s="30" t="str">
        <f>CONCATENATE(IF(X31="","",$X$8),X31)</f>
        <v/>
      </c>
      <c r="AV31" s="30" t="str">
        <f>CONCATENATE(IF(Y31="","",$Y$8),Y31)</f>
        <v/>
      </c>
      <c r="AW31" s="30" t="str">
        <f>CONCATENATE(IF(Z31="","",$Z$8),Z31)</f>
        <v/>
      </c>
      <c r="AX31" s="30" t="str">
        <f>CONCATENATE(IF(AA31="","",$AA$8),AA31)</f>
        <v/>
      </c>
      <c r="AY31" s="30" t="str">
        <f>CONCATENATE(IF(AB31="","",AB$8),AB31)</f>
        <v/>
      </c>
      <c r="AZ31" s="30" t="str">
        <f>CONCATENATE(IF(AC31="","",AC$8),AC31)</f>
        <v/>
      </c>
      <c r="BA31" s="30" t="str">
        <f>CONCATENATE(IF(AD31="","",$AD$8),AD31)</f>
        <v/>
      </c>
      <c r="BB31" s="26" t="b">
        <f t="shared" si="0"/>
        <v>1</v>
      </c>
      <c r="BC31" s="23" t="b">
        <f>ISERROR(SEARCH("`",B31))</f>
        <v>1</v>
      </c>
      <c r="BD31" s="23" t="b">
        <f>ISERROR(SEARCH("&lt;",B31))</f>
        <v>1</v>
      </c>
      <c r="BE31" s="23" t="b">
        <f>ISERROR(SEARCH("&gt;",B31))</f>
        <v>1</v>
      </c>
      <c r="BF31" s="23" t="b">
        <f>ISERROR(SEARCH(":",B31))</f>
        <v>1</v>
      </c>
      <c r="BG31" s="23" t="b">
        <f>ISERROR(SEARCH(",",B31))</f>
        <v>1</v>
      </c>
      <c r="BH31" s="23" t="b">
        <f>ISERROR(SEARCH(";",B31))</f>
        <v>1</v>
      </c>
      <c r="BI31" s="23" t="b">
        <f>ISERROR(SEARCH("|",B31))</f>
        <v>1</v>
      </c>
      <c r="BJ31" s="23" t="b">
        <f>ISERROR(SEARCH("\",B31))</f>
        <v>1</v>
      </c>
      <c r="BK31" s="23" t="b">
        <f>ISERROR(SEARCH("[",B31))</f>
        <v>1</v>
      </c>
      <c r="BL31" s="23" t="b">
        <f>ISERROR(SEARCH("]",B31))</f>
        <v>1</v>
      </c>
      <c r="BM31" s="23" t="b">
        <f>ISERROR(SEARCH("{",B31))</f>
        <v>1</v>
      </c>
      <c r="BN31" s="23" t="b">
        <f>ISERROR(SEARCH("}",B31))</f>
        <v>1</v>
      </c>
      <c r="BO31" s="23" t="b">
        <f>ISERROR(SEARCH("_",B31))</f>
        <v>1</v>
      </c>
      <c r="BP31" s="23" t="b">
        <f>ISERROR(SEARCH("(",B31))</f>
        <v>1</v>
      </c>
      <c r="BQ31" s="23" t="b">
        <f>ISERROR(SEARCH(")",B31))</f>
        <v>1</v>
      </c>
      <c r="BR31" s="23" t="b">
        <f>ISERROR(SEARCH("&amp;",B31))</f>
        <v>1</v>
      </c>
      <c r="BS31" s="23" t="b">
        <f>ISERROR(SEARCH("^",B31))</f>
        <v>1</v>
      </c>
      <c r="BT31" s="23" t="b">
        <f>ISERROR(SEARCH("#",B31))</f>
        <v>1</v>
      </c>
      <c r="BU31" s="23" t="b">
        <f>ISERROR(SEARCH("@",B31))</f>
        <v>1</v>
      </c>
      <c r="BV31" s="23" t="b">
        <f>ISERROR(SEARCH("!",B31))</f>
        <v>1</v>
      </c>
      <c r="BW31" s="23" t="b">
        <f>ISERROR(SEARCH("~?",B31))</f>
        <v>1</v>
      </c>
      <c r="BX31" s="23" t="b">
        <f>ISERROR(SEARCH("~*",B31))</f>
        <v>1</v>
      </c>
      <c r="BY31" s="23" t="b">
        <f>ISERROR(SEARCH("=",B31))</f>
        <v>1</v>
      </c>
      <c r="BZ31" s="23" t="b">
        <f>ISERROR(SEARCH("""",B31))</f>
        <v>1</v>
      </c>
      <c r="CA31" s="23" t="b">
        <f>ISERROR(SEARCH(" ",B31))</f>
        <v>1</v>
      </c>
    </row>
    <row r="32" spans="1:79" s="2" customFormat="1" ht="45" customHeight="1" thickBot="1">
      <c r="A32" s="144" t="str">
        <f>CONCATENATE("*",B31,"$",D31-(DATE(YEAR(D31),1,1)-1),A31,F31,AH31,AI31,AJ31,AK31,AL31,AM31,AN31,AO31,AP31,AQ31,AR31,AS31,AT31,AU31,AV31,AW31,AX31,AY31,"*")</f>
        <v>*$0*</v>
      </c>
      <c r="B32" s="140"/>
      <c r="C32" s="140"/>
      <c r="D32" s="140"/>
      <c r="E32" s="140"/>
      <c r="F32" s="140"/>
      <c r="G32" s="146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39" t="str">
        <f>CONCATENATE("*",C31,"*")</f>
        <v>**</v>
      </c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1"/>
      <c r="AE32" s="111"/>
      <c r="AF32" s="112"/>
      <c r="AG32" s="113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26" t="b">
        <f t="shared" si="0"/>
        <v>1</v>
      </c>
      <c r="BC32" s="22" t="b">
        <f>ISERROR(SEARCH("`",D31))</f>
        <v>1</v>
      </c>
      <c r="BD32" s="22" t="b">
        <f>ISERROR(SEARCH("&lt;",D31))</f>
        <v>1</v>
      </c>
      <c r="BE32" s="22" t="b">
        <f>ISERROR(SEARCH("&gt;",D31))</f>
        <v>1</v>
      </c>
      <c r="BF32" s="22" t="b">
        <f>ISERROR(SEARCH(":",D31))</f>
        <v>1</v>
      </c>
      <c r="BG32" s="22" t="b">
        <f>ISERROR(SEARCH(",",D31))</f>
        <v>1</v>
      </c>
      <c r="BH32" s="22" t="b">
        <f>ISERROR(SEARCH(";",D31))</f>
        <v>1</v>
      </c>
      <c r="BI32" s="22" t="b">
        <f>ISERROR(SEARCH("|",D31))</f>
        <v>1</v>
      </c>
      <c r="BJ32" s="22" t="b">
        <f>ISERROR(SEARCH("\",D31))</f>
        <v>1</v>
      </c>
      <c r="BK32" s="22" t="b">
        <f>ISERROR(SEARCH("[",D31))</f>
        <v>1</v>
      </c>
      <c r="BL32" s="22" t="b">
        <f>ISERROR(SEARCH("]",D31))</f>
        <v>1</v>
      </c>
      <c r="BM32" s="22" t="b">
        <f>ISERROR(SEARCH("{",D31))</f>
        <v>1</v>
      </c>
      <c r="BN32" s="22" t="b">
        <f>ISERROR(SEARCH("}",D31))</f>
        <v>1</v>
      </c>
      <c r="BO32" s="22" t="b">
        <f>ISERROR(SEARCH("_",D31))</f>
        <v>1</v>
      </c>
      <c r="BP32" s="22" t="b">
        <f>ISERROR(SEARCH("(",D31))</f>
        <v>1</v>
      </c>
      <c r="BQ32" s="22" t="b">
        <f>ISERROR(SEARCH(")",D31))</f>
        <v>1</v>
      </c>
      <c r="BR32" s="22" t="b">
        <f>ISERROR(SEARCH("&amp;",D31))</f>
        <v>1</v>
      </c>
      <c r="BS32" s="22" t="b">
        <f>ISERROR(SEARCH("^",D31))</f>
        <v>1</v>
      </c>
      <c r="BT32" s="22" t="b">
        <f>ISERROR(SEARCH("#",D31))</f>
        <v>1</v>
      </c>
      <c r="BU32" s="22" t="b">
        <f>ISERROR(SEARCH("@",D31))</f>
        <v>1</v>
      </c>
      <c r="BV32" s="22" t="b">
        <f>ISERROR(SEARCH("!",D31))</f>
        <v>1</v>
      </c>
      <c r="BW32" s="22" t="b">
        <f>ISERROR(SEARCH("~?",D31))</f>
        <v>1</v>
      </c>
      <c r="BX32" s="22" t="b">
        <f>ISERROR(SEARCH("~*",D31))</f>
        <v>1</v>
      </c>
      <c r="BY32" s="22" t="b">
        <f>ISERROR(SEARCH("=",D31))</f>
        <v>1</v>
      </c>
      <c r="BZ32" s="22" t="b">
        <f>ISERROR(SEARCH("""",D31))</f>
        <v>1</v>
      </c>
      <c r="CA32" s="22" t="b">
        <f>ISERROR(SEARCH(" ",D31))</f>
        <v>1</v>
      </c>
    </row>
    <row r="33" spans="1:79" s="2" customFormat="1" ht="15.75" customHeight="1" thickBot="1">
      <c r="A33" s="40"/>
      <c r="B33" s="56"/>
      <c r="C33" s="56"/>
      <c r="D33" s="47"/>
      <c r="E33" s="40" t="s">
        <v>78</v>
      </c>
      <c r="F33" s="44"/>
      <c r="G33" s="43">
        <f>SUM(H33:AD33)</f>
        <v>0</v>
      </c>
      <c r="H33" s="46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115"/>
      <c r="AF33" s="116"/>
      <c r="AG33" s="117"/>
      <c r="AH33" s="30" t="str">
        <f>CONCATENATE(IF(H33="","",$H$8),H33)</f>
        <v/>
      </c>
      <c r="AI33" s="30"/>
      <c r="AJ33" s="30"/>
      <c r="AK33" s="30"/>
      <c r="AL33" s="30"/>
      <c r="AM33" s="30"/>
      <c r="AN33" s="30" t="str">
        <f>CONCATENATE(IF(N33="","",$N$8),N33)</f>
        <v/>
      </c>
      <c r="AO33" s="30" t="str">
        <f>CONCATENATE(IF(R33="","",$R$8),R33)</f>
        <v/>
      </c>
      <c r="AP33" s="30" t="str">
        <f>CONCATENATE(IF(S33="","",$S$8),S33)</f>
        <v/>
      </c>
      <c r="AQ33" s="30" t="str">
        <f>CONCATENATE(IF(T33="","",$T$8),T33)</f>
        <v/>
      </c>
      <c r="AR33" s="30" t="str">
        <f>CONCATENATE(IF(U33="","",$U$8),U33)</f>
        <v/>
      </c>
      <c r="AS33" s="30" t="str">
        <f>CONCATENATE(IF(V33="","",$V$8),V33)</f>
        <v/>
      </c>
      <c r="AT33" s="30" t="str">
        <f>CONCATENATE(IF(W33="","",$W$8),W33)</f>
        <v/>
      </c>
      <c r="AU33" s="30" t="str">
        <f>CONCATENATE(IF(X33="","",$X$8),X33)</f>
        <v/>
      </c>
      <c r="AV33" s="30" t="str">
        <f>CONCATENATE(IF(Y33="","",$Y$8),Y33)</f>
        <v/>
      </c>
      <c r="AW33" s="30" t="str">
        <f>CONCATENATE(IF(Z33="","",$Z$8),Z33)</f>
        <v/>
      </c>
      <c r="AX33" s="30" t="str">
        <f>CONCATENATE(IF(AA33="","",$AA$8),AA33)</f>
        <v/>
      </c>
      <c r="AY33" s="30" t="str">
        <f>CONCATENATE(IF(AB33="","",AB$8),AB33)</f>
        <v/>
      </c>
      <c r="AZ33" s="30" t="str">
        <f>CONCATENATE(IF(AC33="","",AC$8),AC33)</f>
        <v/>
      </c>
      <c r="BA33" s="30" t="str">
        <f>CONCATENATE(IF(AD33="","",$AD$8),AD33)</f>
        <v/>
      </c>
      <c r="BB33" s="26" t="b">
        <f t="shared" si="0"/>
        <v>1</v>
      </c>
      <c r="BC33" s="23" t="b">
        <f>ISERROR(SEARCH("`",B33))</f>
        <v>1</v>
      </c>
      <c r="BD33" s="23" t="b">
        <f>ISERROR(SEARCH("&lt;",B33))</f>
        <v>1</v>
      </c>
      <c r="BE33" s="23" t="b">
        <f>ISERROR(SEARCH("&gt;",B33))</f>
        <v>1</v>
      </c>
      <c r="BF33" s="23" t="b">
        <f>ISERROR(SEARCH(":",B33))</f>
        <v>1</v>
      </c>
      <c r="BG33" s="23" t="b">
        <f>ISERROR(SEARCH(",",B33))</f>
        <v>1</v>
      </c>
      <c r="BH33" s="23" t="b">
        <f>ISERROR(SEARCH(";",B33))</f>
        <v>1</v>
      </c>
      <c r="BI33" s="23" t="b">
        <f>ISERROR(SEARCH("|",B33))</f>
        <v>1</v>
      </c>
      <c r="BJ33" s="23" t="b">
        <f>ISERROR(SEARCH("\",B33))</f>
        <v>1</v>
      </c>
      <c r="BK33" s="23" t="b">
        <f>ISERROR(SEARCH("[",B33))</f>
        <v>1</v>
      </c>
      <c r="BL33" s="23" t="b">
        <f>ISERROR(SEARCH("]",B33))</f>
        <v>1</v>
      </c>
      <c r="BM33" s="23" t="b">
        <f>ISERROR(SEARCH("{",B33))</f>
        <v>1</v>
      </c>
      <c r="BN33" s="23" t="b">
        <f>ISERROR(SEARCH("}",B33))</f>
        <v>1</v>
      </c>
      <c r="BO33" s="23" t="b">
        <f>ISERROR(SEARCH("_",B33))</f>
        <v>1</v>
      </c>
      <c r="BP33" s="23" t="b">
        <f>ISERROR(SEARCH("(",B33))</f>
        <v>1</v>
      </c>
      <c r="BQ33" s="23" t="b">
        <f>ISERROR(SEARCH(")",B33))</f>
        <v>1</v>
      </c>
      <c r="BR33" s="23" t="b">
        <f>ISERROR(SEARCH("&amp;",B33))</f>
        <v>1</v>
      </c>
      <c r="BS33" s="23" t="b">
        <f>ISERROR(SEARCH("^",B33))</f>
        <v>1</v>
      </c>
      <c r="BT33" s="23" t="b">
        <f>ISERROR(SEARCH("#",B33))</f>
        <v>1</v>
      </c>
      <c r="BU33" s="23" t="b">
        <f>ISERROR(SEARCH("@",B33))</f>
        <v>1</v>
      </c>
      <c r="BV33" s="23" t="b">
        <f>ISERROR(SEARCH("!",B33))</f>
        <v>1</v>
      </c>
      <c r="BW33" s="23" t="b">
        <f>ISERROR(SEARCH("~?",B33))</f>
        <v>1</v>
      </c>
      <c r="BX33" s="23" t="b">
        <f>ISERROR(SEARCH("~*",B33))</f>
        <v>1</v>
      </c>
      <c r="BY33" s="23" t="b">
        <f>ISERROR(SEARCH("=",B33))</f>
        <v>1</v>
      </c>
      <c r="BZ33" s="23" t="b">
        <f>ISERROR(SEARCH("""",B33))</f>
        <v>1</v>
      </c>
      <c r="CA33" s="23" t="b">
        <f>ISERROR(SEARCH(" ",B33))</f>
        <v>1</v>
      </c>
    </row>
    <row r="34" spans="1:79" s="2" customFormat="1" ht="45" customHeight="1" thickBot="1">
      <c r="A34" s="144" t="str">
        <f>CONCATENATE("*",B33,"$",D33-(DATE(YEAR(D33),1,1)-1),A33,F33,AH33,AI33,AJ33,AK33,AL33,AM33,AN33,AO33,AP33,AQ33,AR33,AS33,AT33,AU33,AV33,AW33,AX33,AY33,"*")</f>
        <v>*$0*</v>
      </c>
      <c r="B34" s="140"/>
      <c r="C34" s="140"/>
      <c r="D34" s="140"/>
      <c r="E34" s="140"/>
      <c r="F34" s="140"/>
      <c r="G34" s="146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39" t="str">
        <f>CONCATENATE("*",C33,"*")</f>
        <v>**</v>
      </c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1"/>
      <c r="AE34" s="118"/>
      <c r="AF34" s="119"/>
      <c r="AG34" s="12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26" t="b">
        <f t="shared" si="0"/>
        <v>1</v>
      </c>
      <c r="BC34" s="22" t="b">
        <f>ISERROR(SEARCH("`",D33))</f>
        <v>1</v>
      </c>
      <c r="BD34" s="22" t="b">
        <f>ISERROR(SEARCH("&lt;",D33))</f>
        <v>1</v>
      </c>
      <c r="BE34" s="22" t="b">
        <f>ISERROR(SEARCH("&gt;",D33))</f>
        <v>1</v>
      </c>
      <c r="BF34" s="22" t="b">
        <f>ISERROR(SEARCH(":",D33))</f>
        <v>1</v>
      </c>
      <c r="BG34" s="22" t="b">
        <f>ISERROR(SEARCH(",",D33))</f>
        <v>1</v>
      </c>
      <c r="BH34" s="22" t="b">
        <f>ISERROR(SEARCH(";",D33))</f>
        <v>1</v>
      </c>
      <c r="BI34" s="22" t="b">
        <f>ISERROR(SEARCH("|",D33))</f>
        <v>1</v>
      </c>
      <c r="BJ34" s="22" t="b">
        <f>ISERROR(SEARCH("\",D33))</f>
        <v>1</v>
      </c>
      <c r="BK34" s="22" t="b">
        <f>ISERROR(SEARCH("[",D33))</f>
        <v>1</v>
      </c>
      <c r="BL34" s="22" t="b">
        <f>ISERROR(SEARCH("]",D33))</f>
        <v>1</v>
      </c>
      <c r="BM34" s="22" t="b">
        <f>ISERROR(SEARCH("{",D33))</f>
        <v>1</v>
      </c>
      <c r="BN34" s="22" t="b">
        <f>ISERROR(SEARCH("}",D33))</f>
        <v>1</v>
      </c>
      <c r="BO34" s="22" t="b">
        <f>ISERROR(SEARCH("_",D33))</f>
        <v>1</v>
      </c>
      <c r="BP34" s="22" t="b">
        <f>ISERROR(SEARCH("(",D33))</f>
        <v>1</v>
      </c>
      <c r="BQ34" s="22" t="b">
        <f>ISERROR(SEARCH(")",D33))</f>
        <v>1</v>
      </c>
      <c r="BR34" s="22" t="b">
        <f>ISERROR(SEARCH("&amp;",D33))</f>
        <v>1</v>
      </c>
      <c r="BS34" s="22" t="b">
        <f>ISERROR(SEARCH("^",D33))</f>
        <v>1</v>
      </c>
      <c r="BT34" s="22" t="b">
        <f>ISERROR(SEARCH("#",D33))</f>
        <v>1</v>
      </c>
      <c r="BU34" s="22" t="b">
        <f>ISERROR(SEARCH("@",D33))</f>
        <v>1</v>
      </c>
      <c r="BV34" s="22" t="b">
        <f>ISERROR(SEARCH("!",D33))</f>
        <v>1</v>
      </c>
      <c r="BW34" s="22" t="b">
        <f>ISERROR(SEARCH("~?",D33))</f>
        <v>1</v>
      </c>
      <c r="BX34" s="22" t="b">
        <f>ISERROR(SEARCH("~*",D33))</f>
        <v>1</v>
      </c>
      <c r="BY34" s="22" t="b">
        <f>ISERROR(SEARCH("=",D33))</f>
        <v>1</v>
      </c>
      <c r="BZ34" s="22" t="b">
        <f>ISERROR(SEARCH("""",D33))</f>
        <v>1</v>
      </c>
      <c r="CA34" s="22" t="b">
        <f>ISERROR(SEARCH(" ",D33))</f>
        <v>1</v>
      </c>
    </row>
    <row r="35" spans="1:79" s="2" customFormat="1" ht="18" customHeight="1" thickBot="1">
      <c r="A35" s="40"/>
      <c r="B35" s="56"/>
      <c r="C35" s="56"/>
      <c r="D35" s="47"/>
      <c r="E35" s="40" t="s">
        <v>78</v>
      </c>
      <c r="F35" s="44"/>
      <c r="G35" s="43">
        <f>SUM(H35:AD35)</f>
        <v>0</v>
      </c>
      <c r="H35" s="46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96"/>
      <c r="AF35" s="96"/>
      <c r="AG35" s="96"/>
      <c r="AH35" s="30" t="str">
        <f>CONCATENATE(IF(H35="","",$H$8),H35)</f>
        <v/>
      </c>
      <c r="AI35" s="30" t="str">
        <f>CONCATENATE(IF(I35="","",$I$8),I35)</f>
        <v/>
      </c>
      <c r="AJ35" s="30" t="str">
        <f>CONCATENATE(IF(J35="","",$J$8),J35)</f>
        <v/>
      </c>
      <c r="AK35" s="30" t="str">
        <f>CONCATENATE(IF(K35="","",$K$8),K35)</f>
        <v/>
      </c>
      <c r="AL35" s="30" t="str">
        <f>CONCATENATE(IF(L35="","",$L$8),L35)</f>
        <v/>
      </c>
      <c r="AM35" s="30" t="str">
        <f>CONCATENATE(IF(M35="","",$M$8),M35)</f>
        <v/>
      </c>
      <c r="AN35" s="30" t="str">
        <f>CONCATENATE(IF(N35="","",$N$8),N35)</f>
        <v/>
      </c>
      <c r="AO35" s="30" t="str">
        <f>CONCATENATE(IF(R35="","",$R$8),R35)</f>
        <v/>
      </c>
      <c r="AP35" s="30" t="str">
        <f>CONCATENATE(IF(S35="","",$S$8),S35)</f>
        <v/>
      </c>
      <c r="AQ35" s="30" t="str">
        <f>CONCATENATE(IF(T35="","",$T$8),T35)</f>
        <v/>
      </c>
      <c r="AR35" s="30" t="str">
        <f>CONCATENATE(IF(U35="","",$U$8),U35)</f>
        <v/>
      </c>
      <c r="AS35" s="30" t="str">
        <f>CONCATENATE(IF(V35="","",$V$8),V35)</f>
        <v/>
      </c>
      <c r="AT35" s="30" t="str">
        <f>CONCATENATE(IF(W35="","",$W$8),W35)</f>
        <v/>
      </c>
      <c r="AU35" s="30" t="str">
        <f>CONCATENATE(IF(X35="","",$X$8),X35)</f>
        <v/>
      </c>
      <c r="AV35" s="30" t="str">
        <f>CONCATENATE(IF(Y35="","",$Y$8),Y35)</f>
        <v/>
      </c>
      <c r="AW35" s="30" t="str">
        <f>CONCATENATE(IF(Z35="","",$Z$8),Z35)</f>
        <v/>
      </c>
      <c r="AX35" s="30" t="str">
        <f>CONCATENATE(IF(AA35="","",$AA$8),AA35)</f>
        <v/>
      </c>
      <c r="AY35" s="30" t="str">
        <f>CONCATENATE(IF(AB35="","",AB$8),AB35)</f>
        <v/>
      </c>
      <c r="AZ35" s="30" t="str">
        <f>CONCATENATE(IF(AC35="","",AC$8),AC35)</f>
        <v/>
      </c>
      <c r="BA35" s="30" t="str">
        <f>CONCATENATE(IF(AD35="","",$AD$8),AD35)</f>
        <v/>
      </c>
      <c r="BB35" s="26" t="b">
        <f t="shared" si="0"/>
        <v>1</v>
      </c>
      <c r="BC35" s="23" t="b">
        <f>ISERROR(SEARCH("`",B35))</f>
        <v>1</v>
      </c>
      <c r="BD35" s="23" t="b">
        <f>ISERROR(SEARCH("&lt;",B35))</f>
        <v>1</v>
      </c>
      <c r="BE35" s="23" t="b">
        <f>ISERROR(SEARCH("&gt;",B35))</f>
        <v>1</v>
      </c>
      <c r="BF35" s="23" t="b">
        <f>ISERROR(SEARCH(":",B35))</f>
        <v>1</v>
      </c>
      <c r="BG35" s="23" t="b">
        <f>ISERROR(SEARCH(",",B35))</f>
        <v>1</v>
      </c>
      <c r="BH35" s="23" t="b">
        <f>ISERROR(SEARCH(";",B35))</f>
        <v>1</v>
      </c>
      <c r="BI35" s="23" t="b">
        <f>ISERROR(SEARCH("|",B35))</f>
        <v>1</v>
      </c>
      <c r="BJ35" s="23" t="b">
        <f>ISERROR(SEARCH("\",B35))</f>
        <v>1</v>
      </c>
      <c r="BK35" s="23" t="b">
        <f>ISERROR(SEARCH("[",B35))</f>
        <v>1</v>
      </c>
      <c r="BL35" s="23" t="b">
        <f>ISERROR(SEARCH("]",B35))</f>
        <v>1</v>
      </c>
      <c r="BM35" s="23" t="b">
        <f>ISERROR(SEARCH("{",B35))</f>
        <v>1</v>
      </c>
      <c r="BN35" s="23" t="b">
        <f>ISERROR(SEARCH("}",B35))</f>
        <v>1</v>
      </c>
      <c r="BO35" s="23" t="b">
        <f>ISERROR(SEARCH("_",B35))</f>
        <v>1</v>
      </c>
      <c r="BP35" s="23" t="b">
        <f>ISERROR(SEARCH("(",B35))</f>
        <v>1</v>
      </c>
      <c r="BQ35" s="23" t="b">
        <f>ISERROR(SEARCH(")",B35))</f>
        <v>1</v>
      </c>
      <c r="BR35" s="23" t="b">
        <f>ISERROR(SEARCH("&amp;",B35))</f>
        <v>1</v>
      </c>
      <c r="BS35" s="23" t="b">
        <f>ISERROR(SEARCH("^",B35))</f>
        <v>1</v>
      </c>
      <c r="BT35" s="23" t="b">
        <f>ISERROR(SEARCH("#",B35))</f>
        <v>1</v>
      </c>
      <c r="BU35" s="23" t="b">
        <f>ISERROR(SEARCH("@",B35))</f>
        <v>1</v>
      </c>
      <c r="BV35" s="23" t="b">
        <f>ISERROR(SEARCH("!",B35))</f>
        <v>1</v>
      </c>
      <c r="BW35" s="23" t="b">
        <f>ISERROR(SEARCH("~?",B35))</f>
        <v>1</v>
      </c>
      <c r="BX35" s="23" t="b">
        <f>ISERROR(SEARCH("~*",B35))</f>
        <v>1</v>
      </c>
      <c r="BY35" s="23" t="b">
        <f>ISERROR(SEARCH("=",B35))</f>
        <v>1</v>
      </c>
      <c r="BZ35" s="23" t="b">
        <f>ISERROR(SEARCH("""",B35))</f>
        <v>1</v>
      </c>
      <c r="CA35" s="23" t="b">
        <f>ISERROR(SEARCH(" ",B35))</f>
        <v>1</v>
      </c>
    </row>
    <row r="36" spans="1:79" s="2" customFormat="1" ht="45" customHeight="1">
      <c r="A36" s="144" t="str">
        <f>CONCATENATE("*",B35,"$",D35-(DATE(YEAR(D35),1,1)-1),A35,F35,AH35,AI35,AJ35,AK35,AL35,AM35,AN35,AO35,AP35,AQ35,AR35,AS35,AT35,AU35,AV35,AW35,AX35,AY35,"*")</f>
        <v>*$0*</v>
      </c>
      <c r="B36" s="140"/>
      <c r="C36" s="140"/>
      <c r="D36" s="140"/>
      <c r="E36" s="140"/>
      <c r="F36" s="140"/>
      <c r="G36" s="146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39" t="str">
        <f>CONCATENATE("*",C35,"*")</f>
        <v>**</v>
      </c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1"/>
      <c r="AE36" s="97"/>
      <c r="AF36" s="97"/>
      <c r="AG36" s="97"/>
      <c r="BB36" s="26" t="b">
        <f t="shared" si="0"/>
        <v>1</v>
      </c>
      <c r="BC36" s="22" t="b">
        <f>ISERROR(SEARCH("`",D35))</f>
        <v>1</v>
      </c>
      <c r="BD36" s="22" t="b">
        <f>ISERROR(SEARCH("&lt;",D35))</f>
        <v>1</v>
      </c>
      <c r="BE36" s="22" t="b">
        <f>ISERROR(SEARCH("&gt;",D35))</f>
        <v>1</v>
      </c>
      <c r="BF36" s="22" t="b">
        <f>ISERROR(SEARCH(":",D35))</f>
        <v>1</v>
      </c>
      <c r="BG36" s="22" t="b">
        <f>ISERROR(SEARCH(",",D35))</f>
        <v>1</v>
      </c>
      <c r="BH36" s="22" t="b">
        <f>ISERROR(SEARCH(";",D35))</f>
        <v>1</v>
      </c>
      <c r="BI36" s="22" t="b">
        <f>ISERROR(SEARCH("|",D35))</f>
        <v>1</v>
      </c>
      <c r="BJ36" s="22" t="b">
        <f>ISERROR(SEARCH("\",D35))</f>
        <v>1</v>
      </c>
      <c r="BK36" s="22" t="b">
        <f>ISERROR(SEARCH("[",D35))</f>
        <v>1</v>
      </c>
      <c r="BL36" s="22" t="b">
        <f>ISERROR(SEARCH("]",D35))</f>
        <v>1</v>
      </c>
      <c r="BM36" s="22" t="b">
        <f>ISERROR(SEARCH("{",D35))</f>
        <v>1</v>
      </c>
      <c r="BN36" s="22" t="b">
        <f>ISERROR(SEARCH("}",D35))</f>
        <v>1</v>
      </c>
      <c r="BO36" s="22" t="b">
        <f>ISERROR(SEARCH("_",D35))</f>
        <v>1</v>
      </c>
      <c r="BP36" s="22" t="b">
        <f>ISERROR(SEARCH("(",D35))</f>
        <v>1</v>
      </c>
      <c r="BQ36" s="22" t="b">
        <f>ISERROR(SEARCH(")",D35))</f>
        <v>1</v>
      </c>
      <c r="BR36" s="22" t="b">
        <f>ISERROR(SEARCH("&amp;",D35))</f>
        <v>1</v>
      </c>
      <c r="BS36" s="22" t="b">
        <f>ISERROR(SEARCH("^",D35))</f>
        <v>1</v>
      </c>
      <c r="BT36" s="22" t="b">
        <f>ISERROR(SEARCH("#",D35))</f>
        <v>1</v>
      </c>
      <c r="BU36" s="22" t="b">
        <f>ISERROR(SEARCH("@",D35))</f>
        <v>1</v>
      </c>
      <c r="BV36" s="22" t="b">
        <f>ISERROR(SEARCH("!",D35))</f>
        <v>1</v>
      </c>
      <c r="BW36" s="22" t="b">
        <f>ISERROR(SEARCH("~?",D35))</f>
        <v>1</v>
      </c>
      <c r="BX36" s="22" t="b">
        <f>ISERROR(SEARCH("~*",D35))</f>
        <v>1</v>
      </c>
      <c r="BY36" s="22" t="b">
        <f>ISERROR(SEARCH("=",D35))</f>
        <v>1</v>
      </c>
      <c r="BZ36" s="22" t="b">
        <f>ISERROR(SEARCH("""",D35))</f>
        <v>1</v>
      </c>
      <c r="CA36" s="22" t="b">
        <f>ISERROR(SEARCH(" ",D35))</f>
        <v>1</v>
      </c>
    </row>
    <row r="37" spans="1:79" ht="9.75" customHeight="1" thickBot="1">
      <c r="E37" s="25"/>
      <c r="AE37" s="28"/>
      <c r="AF37" s="28"/>
      <c r="AG37" s="28"/>
    </row>
    <row r="38" spans="1:79" ht="13" thickBot="1">
      <c r="A38" s="122" t="s">
        <v>21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4"/>
    </row>
    <row r="39" spans="1:79">
      <c r="A39" s="15" t="s">
        <v>22</v>
      </c>
      <c r="B39" s="17"/>
      <c r="C39" s="16"/>
      <c r="D39" s="16"/>
      <c r="E39" s="16"/>
      <c r="F39" s="17"/>
      <c r="G39" s="17" t="s">
        <v>41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7" t="s">
        <v>23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8"/>
    </row>
    <row r="40" spans="1:79">
      <c r="A40" s="7" t="s">
        <v>24</v>
      </c>
      <c r="B40" s="9"/>
      <c r="C40" s="8"/>
      <c r="D40" s="8"/>
      <c r="E40" s="8"/>
      <c r="F40" s="9"/>
      <c r="G40" s="9" t="s">
        <v>25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9" t="s">
        <v>26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/>
    </row>
    <row r="41" spans="1:79">
      <c r="A41" s="7" t="s">
        <v>27</v>
      </c>
      <c r="B41" s="9"/>
      <c r="C41" s="8"/>
      <c r="D41" s="8"/>
      <c r="E41" s="8"/>
      <c r="F41" s="9"/>
      <c r="G41" s="9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9" t="s">
        <v>52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</row>
    <row r="42" spans="1:79">
      <c r="A42" s="7" t="s">
        <v>56</v>
      </c>
      <c r="B42" s="9"/>
      <c r="C42" s="8"/>
      <c r="D42" s="8"/>
      <c r="E42" s="8"/>
      <c r="F42" s="9"/>
      <c r="G42" s="9" t="s">
        <v>53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9" t="s">
        <v>54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0"/>
    </row>
    <row r="43" spans="1:79">
      <c r="A43" s="9" t="s">
        <v>57</v>
      </c>
      <c r="B43" s="9"/>
      <c r="C43" s="8"/>
      <c r="D43" s="8"/>
      <c r="E43" s="8"/>
      <c r="F43" s="9"/>
      <c r="G43" s="9" t="s">
        <v>55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 t="s">
        <v>49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0"/>
    </row>
    <row r="44" spans="1:79" ht="13" thickBot="1">
      <c r="A44" s="11" t="s">
        <v>58</v>
      </c>
      <c r="B44" s="13"/>
      <c r="C44" s="12"/>
      <c r="D44" s="12"/>
      <c r="E44" s="12"/>
      <c r="F44" s="13"/>
      <c r="G44" s="12" t="s">
        <v>59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">
        <v>60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4"/>
    </row>
    <row r="46" spans="1:79" ht="17.5">
      <c r="A46" s="147" t="s">
        <v>33</v>
      </c>
      <c r="B46" s="147"/>
      <c r="C46" s="31"/>
      <c r="D46" s="21"/>
      <c r="E46" s="20"/>
      <c r="F46" s="21"/>
      <c r="H46" s="147" t="s">
        <v>35</v>
      </c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3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79" ht="15">
      <c r="A47" s="114" t="s">
        <v>36</v>
      </c>
      <c r="B47" s="114"/>
      <c r="C47" s="32"/>
      <c r="D47" s="2"/>
      <c r="E47" s="2"/>
      <c r="F47" s="2"/>
      <c r="G47" s="2"/>
      <c r="H47" s="114" t="s">
        <v>37</v>
      </c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32"/>
    </row>
  </sheetData>
  <mergeCells count="64">
    <mergeCell ref="H46:S46"/>
    <mergeCell ref="AE25:AG26"/>
    <mergeCell ref="A26:R26"/>
    <mergeCell ref="S26:AD26"/>
    <mergeCell ref="AE27:AG28"/>
    <mergeCell ref="A28:R28"/>
    <mergeCell ref="S28:AD28"/>
    <mergeCell ref="A47:B47"/>
    <mergeCell ref="H47:S47"/>
    <mergeCell ref="S36:AD36"/>
    <mergeCell ref="AE29:AG30"/>
    <mergeCell ref="A30:R30"/>
    <mergeCell ref="S30:AD30"/>
    <mergeCell ref="AE31:AG32"/>
    <mergeCell ref="A32:R32"/>
    <mergeCell ref="S32:AD32"/>
    <mergeCell ref="AE33:AG34"/>
    <mergeCell ref="A34:R34"/>
    <mergeCell ref="S34:AD34"/>
    <mergeCell ref="AE35:AG36"/>
    <mergeCell ref="A36:R36"/>
    <mergeCell ref="A38:AG38"/>
    <mergeCell ref="A46:B46"/>
    <mergeCell ref="S24:AD24"/>
    <mergeCell ref="AE15:AG16"/>
    <mergeCell ref="A16:R16"/>
    <mergeCell ref="S16:AD16"/>
    <mergeCell ref="AE17:AG18"/>
    <mergeCell ref="A18:R18"/>
    <mergeCell ref="S18:AD18"/>
    <mergeCell ref="A20:R20"/>
    <mergeCell ref="S20:AD20"/>
    <mergeCell ref="AE21:AG22"/>
    <mergeCell ref="A22:R22"/>
    <mergeCell ref="S22:AD22"/>
    <mergeCell ref="AE23:AG24"/>
    <mergeCell ref="A24:R24"/>
    <mergeCell ref="AE19:AG20"/>
    <mergeCell ref="AE11:AG12"/>
    <mergeCell ref="A12:R12"/>
    <mergeCell ref="S12:AD12"/>
    <mergeCell ref="AE13:AG14"/>
    <mergeCell ref="A14:R14"/>
    <mergeCell ref="S14:AD14"/>
    <mergeCell ref="AE9:AG10"/>
    <mergeCell ref="A10:R10"/>
    <mergeCell ref="S10:AD10"/>
    <mergeCell ref="A7:A8"/>
    <mergeCell ref="B7:B8"/>
    <mergeCell ref="C7:C8"/>
    <mergeCell ref="D7:D8"/>
    <mergeCell ref="E7:E8"/>
    <mergeCell ref="F7:F8"/>
    <mergeCell ref="A1:B3"/>
    <mergeCell ref="C1:T3"/>
    <mergeCell ref="U1:AG1"/>
    <mergeCell ref="U2:AG2"/>
    <mergeCell ref="U3:AG3"/>
    <mergeCell ref="B5:E5"/>
    <mergeCell ref="H5:N5"/>
    <mergeCell ref="S5:AG5"/>
    <mergeCell ref="G7:G8"/>
    <mergeCell ref="H7:AD7"/>
    <mergeCell ref="AE7:AG8"/>
  </mergeCells>
  <dataValidations count="8">
    <dataValidation type="list" allowBlank="1" showInputMessage="1" showErrorMessage="1" sqref="B5:E5" xr:uid="{00000000-0002-0000-0000-000000000000}">
      <formula1>$AI$1:$AI$2</formula1>
    </dataValidation>
    <dataValidation type="list" allowBlank="1" showInputMessage="1" showErrorMessage="1" sqref="S5:AG5" xr:uid="{00000000-0002-0000-0000-000001000000}">
      <formula1>$AJ$1:$AJ$4</formula1>
    </dataValidation>
    <dataValidation type="date" allowBlank="1" showInputMessage="1" showErrorMessage="1" sqref="D19 D23 D11 D25 D13 D31 D35 D17 D9 D27 D21 D29 D15 D33" xr:uid="{00000000-0002-0000-0000-000002000000}">
      <formula1>TODAY()-90</formula1>
      <formula2>TODAY()</formula2>
    </dataValidation>
    <dataValidation type="whole" allowBlank="1" showInputMessage="1" showErrorMessage="1" sqref="G11:AD11 G27:AD27 G21:AD21 G29:AD29 G33:AD33 G9:AD9 G23:AD23 G19:AD19 H13:AD13 H17:AD17 G25:AD25 G15:AD15 G31:AD31 G35:AD35" xr:uid="{00000000-0002-0000-0000-000003000000}">
      <formula1>1</formula1>
      <formula2>99999</formula2>
    </dataValidation>
    <dataValidation type="whole" allowBlank="1" showInputMessage="1" showErrorMessage="1" sqref="F11 F35 F33 F31 F29 F27 F25 F19 F21 F9 F13 F23 F17 F15" xr:uid="{00000000-0002-0000-0000-000004000000}">
      <formula1>1</formula1>
      <formula2>999999</formula2>
    </dataValidation>
    <dataValidation type="list" allowBlank="1" showInputMessage="1" showErrorMessage="1" sqref="A15 A33 A31 A23 A29 A21 A25 A35 A19 A17 A9 A27 A11 A13" xr:uid="{00000000-0002-0000-0000-000005000000}">
      <formula1>$AH$1:$AH$3</formula1>
    </dataValidation>
    <dataValidation type="custom" allowBlank="1" showInputMessage="1" showErrorMessage="1" sqref="B15:C15 B29:C29 B31:C31 B23:C23 B11:C11 B27:C27 B19:C19 B13:C13 B21:C21 B25:C25 B35:C35 B9:C9 B17:C17 B33:C33" xr:uid="{00000000-0002-0000-0000-000006000000}">
      <formula1>BB9</formula1>
    </dataValidation>
    <dataValidation type="whole" allowBlank="1" showInputMessage="1" showErrorMessage="1" sqref="G13 G17" xr:uid="{00000000-0002-0000-0000-000007000000}">
      <formula1>0</formula1>
      <formula2>99999</formula2>
    </dataValidation>
  </dataValidations>
  <printOptions horizontalCentered="1" verticalCentered="1"/>
  <pageMargins left="0.19685039370078741" right="0.18" top="0.23" bottom="0.39370078740157483" header="0.28000000000000003" footer="0.51181102362204722"/>
  <pageSetup paperSize="9" scale="67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Button 1">
              <controlPr defaultSize="0" print="0" autoFill="0" autoPict="0" macro="[0]!Makro_CzTsc">
                <anchor moveWithCells="1" sizeWithCells="1">
                  <from>
                    <xdr:col>79</xdr:col>
                    <xdr:colOff>31750</xdr:colOff>
                    <xdr:row>0</xdr:row>
                    <xdr:rowOff>6350</xdr:rowOff>
                  </from>
                  <to>
                    <xdr:col>80</xdr:col>
                    <xdr:colOff>69850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Z45"/>
  <sheetViews>
    <sheetView tabSelected="1" topLeftCell="A5" zoomScale="115" zoomScaleNormal="115" workbookViewId="0">
      <pane xSplit="1" ySplit="4" topLeftCell="B9" activePane="bottomRight" state="frozen"/>
      <selection activeCell="AE13" sqref="AE13:AG14"/>
      <selection pane="topRight" activeCell="AE13" sqref="AE13:AG14"/>
      <selection pane="bottomLeft" activeCell="AE13" sqref="AE13:AG14"/>
      <selection pane="bottomRight" activeCell="G9" sqref="G9"/>
    </sheetView>
  </sheetViews>
  <sheetFormatPr defaultColWidth="9.08984375" defaultRowHeight="14.5"/>
  <cols>
    <col min="1" max="1" width="14" style="35" customWidth="1"/>
    <col min="2" max="2" width="14.453125" style="35" customWidth="1"/>
    <col min="3" max="3" width="10.54296875" style="35" customWidth="1"/>
    <col min="4" max="4" width="8.54296875" style="35" customWidth="1"/>
    <col min="5" max="5" width="8.08984375" style="35" customWidth="1"/>
    <col min="6" max="27" width="3.54296875" style="35" customWidth="1"/>
    <col min="28" max="28" width="4" style="35" customWidth="1"/>
    <col min="29" max="29" width="5.90625" style="35" customWidth="1"/>
    <col min="30" max="30" width="5.08984375" style="35" customWidth="1"/>
    <col min="31" max="31" width="9.1796875" style="35" customWidth="1"/>
    <col min="32" max="34" width="9.08984375" style="35" hidden="1" customWidth="1"/>
    <col min="35" max="35" width="9.08984375" style="35" customWidth="1"/>
    <col min="36" max="37" width="10.6328125" style="35" customWidth="1"/>
    <col min="38" max="67" width="9.08984375" style="35" customWidth="1"/>
    <col min="68" max="68" width="4.54296875" style="35" customWidth="1"/>
    <col min="69" max="70" width="2.08984375" style="35" customWidth="1"/>
    <col min="71" max="71" width="4.90625" style="35" customWidth="1"/>
    <col min="72" max="72" width="4.6328125" style="35" customWidth="1"/>
    <col min="73" max="73" width="7.08984375" style="35" customWidth="1"/>
    <col min="74" max="74" width="5.6328125" style="35" customWidth="1"/>
    <col min="75" max="75" width="3.6328125" style="35" customWidth="1"/>
    <col min="76" max="76" width="6.6328125" style="35" customWidth="1"/>
    <col min="77" max="77" width="3.90625" style="35" customWidth="1"/>
    <col min="78" max="16384" width="9.08984375" style="35"/>
  </cols>
  <sheetData>
    <row r="1" spans="1:78" ht="17.5">
      <c r="A1" s="58"/>
      <c r="B1" s="34"/>
      <c r="C1" s="59" t="s">
        <v>61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1"/>
      <c r="U1" s="66" t="s">
        <v>2</v>
      </c>
      <c r="V1" s="66"/>
      <c r="W1" s="66"/>
      <c r="X1" s="66"/>
      <c r="Y1" s="66"/>
      <c r="Z1" s="66"/>
      <c r="AA1" s="66"/>
      <c r="AB1" s="66"/>
      <c r="AC1" s="66"/>
      <c r="AD1" s="66"/>
      <c r="AE1" s="66"/>
      <c r="AF1" s="1"/>
      <c r="AG1" s="1" t="s">
        <v>62</v>
      </c>
      <c r="AH1" s="1" t="s">
        <v>63</v>
      </c>
    </row>
    <row r="2" spans="1:78" ht="17.5">
      <c r="A2" s="58"/>
      <c r="B2" s="36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3"/>
      <c r="U2" s="66" t="s">
        <v>77</v>
      </c>
      <c r="V2" s="66"/>
      <c r="W2" s="66"/>
      <c r="X2" s="66"/>
      <c r="Y2" s="66"/>
      <c r="Z2" s="66"/>
      <c r="AA2" s="66"/>
      <c r="AB2" s="66"/>
      <c r="AC2" s="66"/>
      <c r="AD2" s="66"/>
      <c r="AE2" s="66"/>
      <c r="AF2" s="1"/>
      <c r="AG2" s="1" t="s">
        <v>64</v>
      </c>
      <c r="AH2" s="1" t="s">
        <v>65</v>
      </c>
    </row>
    <row r="3" spans="1:78" ht="17.5">
      <c r="A3" s="58"/>
      <c r="B3" s="37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5"/>
      <c r="U3" s="66" t="s">
        <v>0</v>
      </c>
      <c r="V3" s="66"/>
      <c r="W3" s="66"/>
      <c r="X3" s="66"/>
      <c r="Y3" s="66"/>
      <c r="Z3" s="66"/>
      <c r="AA3" s="66"/>
      <c r="AB3" s="66"/>
      <c r="AC3" s="66"/>
      <c r="AD3" s="66"/>
      <c r="AE3" s="66"/>
      <c r="AF3" s="1"/>
      <c r="AG3" s="1"/>
      <c r="AH3" s="1" t="s">
        <v>66</v>
      </c>
      <c r="AJ3" s="38"/>
      <c r="AL3" s="38"/>
    </row>
    <row r="4" spans="1:78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67</v>
      </c>
    </row>
    <row r="5" spans="1:78" ht="48" customHeight="1">
      <c r="A5" s="6" t="s">
        <v>68</v>
      </c>
      <c r="B5" s="39" t="s">
        <v>64</v>
      </c>
      <c r="C5" s="84" t="str">
        <f>"*"&amp;B5&amp;"*"</f>
        <v>*ZP*</v>
      </c>
      <c r="D5" s="63"/>
      <c r="E5" s="48" t="s">
        <v>69</v>
      </c>
      <c r="F5" s="85" t="s">
        <v>65</v>
      </c>
      <c r="G5" s="86"/>
      <c r="H5" s="86"/>
      <c r="I5" s="87"/>
      <c r="J5" s="88" t="str">
        <f>"*"&amp;F5&amp;"*"</f>
        <v>*Obrywanie*</v>
      </c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90"/>
      <c r="X5" s="91" t="s">
        <v>71</v>
      </c>
      <c r="Y5" s="92"/>
      <c r="Z5" s="93">
        <f ca="1">TODAY()</f>
        <v>46150</v>
      </c>
      <c r="AA5" s="94"/>
      <c r="AB5" s="95"/>
      <c r="AC5" s="67" t="str">
        <f ca="1">"*"&amp;Z5-DATE(2013,5,1)&amp;"*"</f>
        <v>*4755*</v>
      </c>
      <c r="AD5" s="68"/>
      <c r="AE5" s="68"/>
      <c r="AF5" s="1"/>
      <c r="AG5" s="1"/>
      <c r="AH5" s="1" t="s">
        <v>72</v>
      </c>
    </row>
    <row r="6" spans="1:78" ht="8.2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73</v>
      </c>
    </row>
    <row r="7" spans="1:78" ht="15.5">
      <c r="A7" s="69" t="s">
        <v>40</v>
      </c>
      <c r="B7" s="69" t="s">
        <v>47</v>
      </c>
      <c r="C7" s="71" t="s">
        <v>29</v>
      </c>
      <c r="D7" s="69" t="s">
        <v>3</v>
      </c>
      <c r="E7" s="69" t="s">
        <v>30</v>
      </c>
      <c r="F7" s="75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  <c r="AC7" s="78" t="s">
        <v>20</v>
      </c>
      <c r="AD7" s="79"/>
      <c r="AE7" s="80"/>
      <c r="AF7" s="2"/>
      <c r="AG7" s="2"/>
      <c r="AH7" s="2" t="s">
        <v>70</v>
      </c>
      <c r="BZ7" s="1"/>
    </row>
    <row r="8" spans="1:78" ht="24.75" customHeight="1" thickBot="1">
      <c r="A8" s="70"/>
      <c r="B8" s="70"/>
      <c r="C8" s="72"/>
      <c r="D8" s="73"/>
      <c r="E8" s="74"/>
      <c r="F8" s="49" t="s">
        <v>5</v>
      </c>
      <c r="G8" s="50" t="s">
        <v>6</v>
      </c>
      <c r="H8" s="50" t="s">
        <v>7</v>
      </c>
      <c r="I8" s="50" t="s">
        <v>8</v>
      </c>
      <c r="J8" s="50" t="s">
        <v>9</v>
      </c>
      <c r="K8" s="50" t="s">
        <v>10</v>
      </c>
      <c r="L8" s="50" t="s">
        <v>11</v>
      </c>
      <c r="M8" s="51" t="s">
        <v>12</v>
      </c>
      <c r="N8" s="51" t="s">
        <v>13</v>
      </c>
      <c r="O8" s="51" t="s">
        <v>14</v>
      </c>
      <c r="P8" s="51" t="s">
        <v>15</v>
      </c>
      <c r="Q8" s="51" t="s">
        <v>16</v>
      </c>
      <c r="R8" s="51" t="s">
        <v>17</v>
      </c>
      <c r="S8" s="51" t="s">
        <v>18</v>
      </c>
      <c r="T8" s="51" t="s">
        <v>19</v>
      </c>
      <c r="U8" s="51" t="s">
        <v>38</v>
      </c>
      <c r="V8" s="51" t="s">
        <v>39</v>
      </c>
      <c r="W8" s="52" t="s">
        <v>43</v>
      </c>
      <c r="X8" s="51" t="s">
        <v>50</v>
      </c>
      <c r="Y8" s="51" t="s">
        <v>51</v>
      </c>
      <c r="Z8" s="51" t="s">
        <v>74</v>
      </c>
      <c r="AA8" s="51" t="s">
        <v>75</v>
      </c>
      <c r="AB8" s="52" t="s">
        <v>76</v>
      </c>
      <c r="AC8" s="81"/>
      <c r="AD8" s="82"/>
      <c r="AE8" s="83"/>
      <c r="AF8" s="2"/>
      <c r="AG8" s="2"/>
      <c r="AH8" s="2"/>
      <c r="BZ8" s="1"/>
    </row>
    <row r="9" spans="1:78" ht="15.75" customHeight="1" thickBot="1">
      <c r="A9" s="56"/>
      <c r="B9" s="56">
        <f>'Braki_z kodami'!C9</f>
        <v>0</v>
      </c>
      <c r="C9" s="33" t="s">
        <v>79</v>
      </c>
      <c r="D9" s="53">
        <f>'Braki_z kodami'!F9</f>
        <v>0</v>
      </c>
      <c r="E9" s="43">
        <f>SUM(F9:AB9)</f>
        <v>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96"/>
      <c r="AD9" s="96"/>
      <c r="AE9" s="96"/>
      <c r="AF9" s="30" t="str">
        <f t="shared" ref="AF9:AM9" si="0">CONCATENATE(IF(F9="","",F$8),F9)</f>
        <v/>
      </c>
      <c r="AG9" s="30" t="str">
        <f t="shared" si="0"/>
        <v/>
      </c>
      <c r="AH9" s="30" t="str">
        <f t="shared" si="0"/>
        <v/>
      </c>
      <c r="AI9" s="30" t="str">
        <f t="shared" si="0"/>
        <v/>
      </c>
      <c r="AJ9" s="30" t="str">
        <f t="shared" si="0"/>
        <v/>
      </c>
      <c r="AK9" s="30" t="str">
        <f t="shared" si="0"/>
        <v/>
      </c>
      <c r="AL9" s="30" t="str">
        <f t="shared" si="0"/>
        <v/>
      </c>
      <c r="AM9" s="30" t="str">
        <f t="shared" si="0"/>
        <v/>
      </c>
      <c r="AN9" s="30" t="str">
        <f t="shared" ref="AN9:AS9" si="1">CONCATENATE(IF(S9="","",S$8),S9)</f>
        <v/>
      </c>
      <c r="AO9" s="30" t="str">
        <f t="shared" si="1"/>
        <v/>
      </c>
      <c r="AP9" s="30" t="str">
        <f t="shared" si="1"/>
        <v/>
      </c>
      <c r="AQ9" s="30" t="str">
        <f t="shared" si="1"/>
        <v/>
      </c>
      <c r="AR9" s="30" t="str">
        <f t="shared" si="1"/>
        <v/>
      </c>
      <c r="AS9" s="30" t="str">
        <f t="shared" si="1"/>
        <v/>
      </c>
      <c r="AT9" s="30" t="str">
        <f>CONCATENATE(IF(Y9="","",Y$8),Y9)</f>
        <v/>
      </c>
      <c r="AU9" s="30" t="str">
        <f>CONCATENATE(IF(Z9="","",Z$8),Z9)</f>
        <v/>
      </c>
      <c r="AV9" s="30" t="str">
        <f>CONCATENATE(IF(AA9="","",AA$8),AA9)</f>
        <v/>
      </c>
      <c r="AW9" s="30" t="str">
        <f>CONCATENATE(IF(AB9="","",AB$8),AB9)</f>
        <v/>
      </c>
      <c r="AX9" s="30"/>
      <c r="AY9" s="30"/>
    </row>
    <row r="10" spans="1:78" ht="45" customHeight="1" thickBot="1">
      <c r="A10" s="98" t="str">
        <f>CONCATENATE("*",A9,"$",D9,AF9,AG9,AH9,AI9,AJ9,AK9,AL9,AM9,AN9,AO9,AP9,AQ9,AR9,AS9,AT9,AU9,AV9,AW9,"*")</f>
        <v>*$0*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100"/>
      <c r="AC10" s="97"/>
      <c r="AD10" s="97"/>
      <c r="AE10" s="97"/>
      <c r="AF10" s="30"/>
      <c r="AG10" s="30"/>
      <c r="AH10" s="30"/>
    </row>
    <row r="11" spans="1:78" ht="15.75" customHeight="1" thickBot="1">
      <c r="A11" s="56"/>
      <c r="B11" s="56">
        <f>'Braki_z kodami'!C11</f>
        <v>0</v>
      </c>
      <c r="C11" s="33" t="s">
        <v>79</v>
      </c>
      <c r="D11" s="53">
        <f>'Braki_z kodami'!F11</f>
        <v>0</v>
      </c>
      <c r="E11" s="43">
        <f>SUM(F11:AB11)</f>
        <v>0</v>
      </c>
      <c r="F11" s="45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101"/>
      <c r="AD11" s="101"/>
      <c r="AE11" s="101"/>
      <c r="AF11" s="30" t="str">
        <f t="shared" ref="AF11:AM11" si="2">CONCATENATE(IF(F11="","",F$8),F11)</f>
        <v/>
      </c>
      <c r="AG11" s="30" t="str">
        <f t="shared" si="2"/>
        <v/>
      </c>
      <c r="AH11" s="30" t="str">
        <f t="shared" si="2"/>
        <v/>
      </c>
      <c r="AI11" s="30" t="str">
        <f t="shared" si="2"/>
        <v/>
      </c>
      <c r="AJ11" s="30" t="str">
        <f t="shared" si="2"/>
        <v/>
      </c>
      <c r="AK11" s="30" t="str">
        <f t="shared" si="2"/>
        <v/>
      </c>
      <c r="AL11" s="30" t="str">
        <f t="shared" si="2"/>
        <v/>
      </c>
      <c r="AM11" s="30" t="str">
        <f t="shared" si="2"/>
        <v/>
      </c>
      <c r="AN11" s="30" t="str">
        <f t="shared" ref="AN11:AW11" si="3">CONCATENATE(IF(S11="","",S$8),S11)</f>
        <v/>
      </c>
      <c r="AO11" s="30" t="str">
        <f t="shared" si="3"/>
        <v/>
      </c>
      <c r="AP11" s="30" t="str">
        <f t="shared" si="3"/>
        <v/>
      </c>
      <c r="AQ11" s="30" t="str">
        <f t="shared" si="3"/>
        <v/>
      </c>
      <c r="AR11" s="30" t="str">
        <f t="shared" si="3"/>
        <v/>
      </c>
      <c r="AS11" s="30" t="str">
        <f t="shared" si="3"/>
        <v/>
      </c>
      <c r="AT11" s="30" t="str">
        <f t="shared" si="3"/>
        <v/>
      </c>
      <c r="AU11" s="30" t="str">
        <f t="shared" si="3"/>
        <v/>
      </c>
      <c r="AV11" s="30" t="str">
        <f t="shared" si="3"/>
        <v/>
      </c>
      <c r="AW11" s="30" t="str">
        <f t="shared" si="3"/>
        <v/>
      </c>
    </row>
    <row r="12" spans="1:78" ht="45" customHeight="1" thickBot="1">
      <c r="A12" s="102" t="str">
        <f>CONCATENATE("*",A11,"$",D11,AF11,AG11,AH11,AI11,AJ11,AK11,AL11,AM11,AN11,AO11,AP11,AQ11,AR11,AS11,AT11,AU11,AV11,AW11,"*")</f>
        <v>*$0*</v>
      </c>
      <c r="B12" s="103"/>
      <c r="C12" s="103"/>
      <c r="D12" s="103"/>
      <c r="E12" s="104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1"/>
      <c r="AD12" s="101"/>
      <c r="AE12" s="101"/>
      <c r="AF12" s="30"/>
      <c r="AG12" s="30"/>
      <c r="AH12" s="30"/>
    </row>
    <row r="13" spans="1:78" ht="16.5" customHeight="1" thickBot="1">
      <c r="A13" s="56"/>
      <c r="B13" s="56">
        <f>'Braki_z kodami'!C13</f>
        <v>0</v>
      </c>
      <c r="C13" s="33" t="s">
        <v>79</v>
      </c>
      <c r="D13" s="53">
        <f>'Braki_z kodami'!F13</f>
        <v>0</v>
      </c>
      <c r="E13" s="54">
        <f>SUM(F13:AB13)</f>
        <v>0</v>
      </c>
      <c r="F13" s="45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97"/>
      <c r="AD13" s="97"/>
      <c r="AE13" s="97"/>
      <c r="AF13" s="30" t="str">
        <f t="shared" ref="AF13:AM13" si="4">CONCATENATE(IF(F13="","",F$8),F13)</f>
        <v/>
      </c>
      <c r="AG13" s="30" t="str">
        <f t="shared" si="4"/>
        <v/>
      </c>
      <c r="AH13" s="30" t="str">
        <f t="shared" si="4"/>
        <v/>
      </c>
      <c r="AI13" s="30" t="str">
        <f t="shared" si="4"/>
        <v/>
      </c>
      <c r="AJ13" s="30" t="str">
        <f t="shared" si="4"/>
        <v/>
      </c>
      <c r="AK13" s="30" t="str">
        <f t="shared" si="4"/>
        <v/>
      </c>
      <c r="AL13" s="30" t="str">
        <f t="shared" si="4"/>
        <v/>
      </c>
      <c r="AM13" s="30" t="str">
        <f t="shared" si="4"/>
        <v/>
      </c>
      <c r="AN13" s="30" t="str">
        <f t="shared" ref="AN13:AW13" si="5">CONCATENATE(IF(S13="","",S$8),S13)</f>
        <v/>
      </c>
      <c r="AO13" s="30" t="str">
        <f t="shared" si="5"/>
        <v/>
      </c>
      <c r="AP13" s="30" t="str">
        <f t="shared" si="5"/>
        <v/>
      </c>
      <c r="AQ13" s="30" t="str">
        <f t="shared" si="5"/>
        <v/>
      </c>
      <c r="AR13" s="30" t="str">
        <f t="shared" si="5"/>
        <v/>
      </c>
      <c r="AS13" s="30" t="str">
        <f t="shared" si="5"/>
        <v/>
      </c>
      <c r="AT13" s="30" t="str">
        <f t="shared" si="5"/>
        <v/>
      </c>
      <c r="AU13" s="30" t="str">
        <f t="shared" si="5"/>
        <v/>
      </c>
      <c r="AV13" s="30" t="str">
        <f t="shared" si="5"/>
        <v/>
      </c>
      <c r="AW13" s="30" t="str">
        <f t="shared" si="5"/>
        <v/>
      </c>
    </row>
    <row r="14" spans="1:78" ht="45" customHeight="1" thickBot="1">
      <c r="A14" s="102" t="str">
        <f>CONCATENATE("*",A13,"$",D13,AF13,AG13,AH13,AI13,AJ13,AK13,AL13,AM13,AN13,AO13,AP13,AQ13,AR13,AS13,AT13,AU13,AV13,AW13,"*")</f>
        <v>*$0*</v>
      </c>
      <c r="B14" s="103"/>
      <c r="C14" s="103"/>
      <c r="D14" s="103"/>
      <c r="E14" s="104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97"/>
      <c r="AD14" s="97"/>
      <c r="AE14" s="97"/>
      <c r="AF14" s="30"/>
      <c r="AG14" s="30"/>
      <c r="AH14" s="30"/>
    </row>
    <row r="15" spans="1:78" ht="15.75" customHeight="1" thickBot="1">
      <c r="A15" s="56"/>
      <c r="B15" s="56">
        <f>'Braki_z kodami'!C15</f>
        <v>0</v>
      </c>
      <c r="C15" s="33" t="s">
        <v>79</v>
      </c>
      <c r="D15" s="53">
        <f>'Braki_z kodami'!F15</f>
        <v>0</v>
      </c>
      <c r="E15" s="43">
        <f>SUM(F15:AB15)</f>
        <v>0</v>
      </c>
      <c r="F15" s="45"/>
      <c r="G15" s="33"/>
      <c r="H15" s="33"/>
      <c r="I15" s="40"/>
      <c r="J15" s="40"/>
      <c r="K15" s="40"/>
      <c r="L15" s="40"/>
      <c r="M15" s="4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101"/>
      <c r="AD15" s="101"/>
      <c r="AE15" s="101"/>
      <c r="AF15" s="30" t="str">
        <f t="shared" ref="AF15:AM15" si="6">CONCATENATE(IF(F15="","",F$8),F15)</f>
        <v/>
      </c>
      <c r="AG15" s="30" t="str">
        <f t="shared" si="6"/>
        <v/>
      </c>
      <c r="AH15" s="30" t="str">
        <f t="shared" si="6"/>
        <v/>
      </c>
      <c r="AI15" s="30" t="str">
        <f t="shared" si="6"/>
        <v/>
      </c>
      <c r="AJ15" s="30" t="str">
        <f t="shared" si="6"/>
        <v/>
      </c>
      <c r="AK15" s="30" t="str">
        <f t="shared" si="6"/>
        <v/>
      </c>
      <c r="AL15" s="30" t="str">
        <f t="shared" si="6"/>
        <v/>
      </c>
      <c r="AM15" s="30" t="str">
        <f t="shared" si="6"/>
        <v/>
      </c>
      <c r="AN15" s="30" t="str">
        <f t="shared" ref="AN15:AW15" si="7">CONCATENATE(IF(S15="","",S$8),S15)</f>
        <v/>
      </c>
      <c r="AO15" s="30" t="str">
        <f t="shared" si="7"/>
        <v/>
      </c>
      <c r="AP15" s="30" t="str">
        <f t="shared" si="7"/>
        <v/>
      </c>
      <c r="AQ15" s="30" t="str">
        <f t="shared" si="7"/>
        <v/>
      </c>
      <c r="AR15" s="30" t="str">
        <f t="shared" si="7"/>
        <v/>
      </c>
      <c r="AS15" s="30" t="str">
        <f t="shared" si="7"/>
        <v/>
      </c>
      <c r="AT15" s="30" t="str">
        <f t="shared" si="7"/>
        <v/>
      </c>
      <c r="AU15" s="30" t="str">
        <f t="shared" si="7"/>
        <v/>
      </c>
      <c r="AV15" s="30" t="str">
        <f t="shared" si="7"/>
        <v/>
      </c>
      <c r="AW15" s="30" t="str">
        <f t="shared" si="7"/>
        <v/>
      </c>
    </row>
    <row r="16" spans="1:78" ht="45" customHeight="1" thickBot="1">
      <c r="A16" s="102" t="str">
        <f>CONCATENATE("*",A15,"$",D15,AF15,AG15,AH15,AI15,AJ15,AK15,AL15,AM15,AN15,AO15,AP15,AQ15,AR15,AS15,AT15,AU15,AV15,AW15,"*")</f>
        <v>*$0*</v>
      </c>
      <c r="B16" s="103"/>
      <c r="C16" s="103"/>
      <c r="D16" s="103"/>
      <c r="E16" s="104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1"/>
      <c r="AD16" s="101"/>
      <c r="AE16" s="101"/>
      <c r="AF16" s="30"/>
      <c r="AG16" s="30"/>
      <c r="AH16" s="30"/>
    </row>
    <row r="17" spans="1:49" ht="15" thickBot="1">
      <c r="A17" s="56"/>
      <c r="B17" s="56">
        <f>'Braki_z kodami'!C17</f>
        <v>0</v>
      </c>
      <c r="C17" s="33" t="s">
        <v>79</v>
      </c>
      <c r="D17" s="53">
        <f>'Braki_z kodami'!F17</f>
        <v>0</v>
      </c>
      <c r="E17" s="54">
        <f>SUM(F17:AB17)</f>
        <v>0</v>
      </c>
      <c r="F17" s="45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101" t="s">
        <v>80</v>
      </c>
      <c r="AD17" s="101"/>
      <c r="AE17" s="101"/>
      <c r="AF17" s="30" t="str">
        <f t="shared" ref="AF17:AM17" si="8">CONCATENATE(IF(F17="","",F$8),F17)</f>
        <v/>
      </c>
      <c r="AG17" s="30" t="str">
        <f t="shared" si="8"/>
        <v/>
      </c>
      <c r="AH17" s="30" t="str">
        <f t="shared" si="8"/>
        <v/>
      </c>
      <c r="AI17" s="30" t="str">
        <f t="shared" si="8"/>
        <v/>
      </c>
      <c r="AJ17" s="30" t="str">
        <f t="shared" si="8"/>
        <v/>
      </c>
      <c r="AK17" s="30" t="str">
        <f t="shared" si="8"/>
        <v/>
      </c>
      <c r="AL17" s="30" t="str">
        <f t="shared" si="8"/>
        <v/>
      </c>
      <c r="AM17" s="30" t="str">
        <f t="shared" si="8"/>
        <v/>
      </c>
      <c r="AN17" s="30" t="str">
        <f t="shared" ref="AN17:AW17" si="9">CONCATENATE(IF(S17="","",S$8),S17)</f>
        <v/>
      </c>
      <c r="AO17" s="30" t="str">
        <f t="shared" si="9"/>
        <v/>
      </c>
      <c r="AP17" s="30" t="str">
        <f t="shared" si="9"/>
        <v/>
      </c>
      <c r="AQ17" s="30" t="str">
        <f t="shared" si="9"/>
        <v/>
      </c>
      <c r="AR17" s="30" t="str">
        <f t="shared" si="9"/>
        <v/>
      </c>
      <c r="AS17" s="30" t="str">
        <f t="shared" si="9"/>
        <v/>
      </c>
      <c r="AT17" s="30" t="str">
        <f t="shared" si="9"/>
        <v/>
      </c>
      <c r="AU17" s="30" t="str">
        <f t="shared" si="9"/>
        <v/>
      </c>
      <c r="AV17" s="30" t="str">
        <f t="shared" si="9"/>
        <v/>
      </c>
      <c r="AW17" s="30" t="str">
        <f t="shared" si="9"/>
        <v/>
      </c>
    </row>
    <row r="18" spans="1:49" ht="45" customHeight="1" thickBot="1">
      <c r="A18" s="102" t="str">
        <f>CONCATENATE("*",A17,"$",D17,AF17,AG17,AH17,AI17,AJ17,AK17,AL17,AM17,AN17,AO17,AP17,AQ17,AR17,AS17,AT17,AU17,AV17,AW17,"*")</f>
        <v>*$0*</v>
      </c>
      <c r="B18" s="105"/>
      <c r="C18" s="105"/>
      <c r="D18" s="105"/>
      <c r="E18" s="106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1"/>
      <c r="AD18" s="101"/>
      <c r="AE18" s="101"/>
      <c r="AF18" s="30"/>
      <c r="AG18" s="30"/>
      <c r="AH18" s="30"/>
    </row>
    <row r="19" spans="1:49" ht="15.75" customHeight="1" thickBot="1">
      <c r="A19" s="56"/>
      <c r="B19" s="56">
        <f>'Braki_z kodami'!C19</f>
        <v>0</v>
      </c>
      <c r="C19" s="33" t="s">
        <v>79</v>
      </c>
      <c r="D19" s="53">
        <f>'Braki_z kodami'!F19</f>
        <v>0</v>
      </c>
      <c r="E19" s="54">
        <f>SUM(F19:AB19)</f>
        <v>0</v>
      </c>
      <c r="F19" s="45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101"/>
      <c r="AD19" s="101"/>
      <c r="AE19" s="101"/>
      <c r="AF19" s="30" t="str">
        <f t="shared" ref="AF19:AM19" si="10">CONCATENATE(IF(F19="","",F$8),F19)</f>
        <v/>
      </c>
      <c r="AG19" s="30" t="str">
        <f t="shared" si="10"/>
        <v/>
      </c>
      <c r="AH19" s="30" t="str">
        <f t="shared" si="10"/>
        <v/>
      </c>
      <c r="AI19" s="30" t="str">
        <f t="shared" si="10"/>
        <v/>
      </c>
      <c r="AJ19" s="30" t="str">
        <f t="shared" si="10"/>
        <v/>
      </c>
      <c r="AK19" s="30" t="str">
        <f t="shared" si="10"/>
        <v/>
      </c>
      <c r="AL19" s="30" t="str">
        <f t="shared" si="10"/>
        <v/>
      </c>
      <c r="AM19" s="30" t="str">
        <f t="shared" si="10"/>
        <v/>
      </c>
      <c r="AN19" s="30" t="str">
        <f t="shared" ref="AN19:AW19" si="11">CONCATENATE(IF(S19="","",S$8),S19)</f>
        <v/>
      </c>
      <c r="AO19" s="30" t="str">
        <f t="shared" si="11"/>
        <v/>
      </c>
      <c r="AP19" s="30" t="str">
        <f t="shared" si="11"/>
        <v/>
      </c>
      <c r="AQ19" s="30" t="str">
        <f t="shared" si="11"/>
        <v/>
      </c>
      <c r="AR19" s="30" t="str">
        <f t="shared" si="11"/>
        <v/>
      </c>
      <c r="AS19" s="30" t="str">
        <f t="shared" si="11"/>
        <v/>
      </c>
      <c r="AT19" s="30" t="str">
        <f t="shared" si="11"/>
        <v/>
      </c>
      <c r="AU19" s="30" t="str">
        <f t="shared" si="11"/>
        <v/>
      </c>
      <c r="AV19" s="30" t="str">
        <f t="shared" si="11"/>
        <v/>
      </c>
      <c r="AW19" s="30" t="str">
        <f t="shared" si="11"/>
        <v/>
      </c>
    </row>
    <row r="20" spans="1:49" ht="45" customHeight="1" thickBot="1">
      <c r="A20" s="102" t="str">
        <f>CONCATENATE("*",A19,"$",D19,AF19,AG19,AH19,AI19,AJ19,AK19,AL19,AM19,AN19,AO19,AP19,AQ19,AR19,AS19,AT19,AU19,AV19,AW19,"*")</f>
        <v>*$0*</v>
      </c>
      <c r="B20" s="105"/>
      <c r="C20" s="105"/>
      <c r="D20" s="105"/>
      <c r="E20" s="106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1"/>
      <c r="AD20" s="101"/>
      <c r="AE20" s="101"/>
      <c r="AF20" s="30"/>
      <c r="AG20" s="30"/>
      <c r="AH20" s="30"/>
    </row>
    <row r="21" spans="1:49" ht="15.75" customHeight="1" thickBot="1">
      <c r="A21" s="56"/>
      <c r="B21" s="56">
        <f>'Braki_z kodami'!C21</f>
        <v>0</v>
      </c>
      <c r="C21" s="33" t="s">
        <v>79</v>
      </c>
      <c r="D21" s="53">
        <f>'Braki_z kodami'!F21</f>
        <v>0</v>
      </c>
      <c r="E21" s="54">
        <f>SUM(F21:AB21)</f>
        <v>0</v>
      </c>
      <c r="F21" s="45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101"/>
      <c r="AD21" s="101"/>
      <c r="AE21" s="101"/>
      <c r="AF21" s="30" t="str">
        <f t="shared" ref="AF21:AM21" si="12">CONCATENATE(IF(F21="","",F$8),F21)</f>
        <v/>
      </c>
      <c r="AG21" s="30" t="str">
        <f t="shared" si="12"/>
        <v/>
      </c>
      <c r="AH21" s="30" t="str">
        <f t="shared" si="12"/>
        <v/>
      </c>
      <c r="AI21" s="30" t="str">
        <f t="shared" si="12"/>
        <v/>
      </c>
      <c r="AJ21" s="30" t="str">
        <f t="shared" si="12"/>
        <v/>
      </c>
      <c r="AK21" s="30" t="str">
        <f t="shared" si="12"/>
        <v/>
      </c>
      <c r="AL21" s="30" t="str">
        <f t="shared" si="12"/>
        <v/>
      </c>
      <c r="AM21" s="30" t="str">
        <f t="shared" si="12"/>
        <v/>
      </c>
      <c r="AN21" s="30" t="str">
        <f t="shared" ref="AN21:AW21" si="13">CONCATENATE(IF(S21="","",S$8),S21)</f>
        <v/>
      </c>
      <c r="AO21" s="30" t="str">
        <f t="shared" si="13"/>
        <v/>
      </c>
      <c r="AP21" s="30" t="str">
        <f t="shared" si="13"/>
        <v/>
      </c>
      <c r="AQ21" s="30" t="str">
        <f t="shared" si="13"/>
        <v/>
      </c>
      <c r="AR21" s="30" t="str">
        <f t="shared" si="13"/>
        <v/>
      </c>
      <c r="AS21" s="30" t="str">
        <f t="shared" si="13"/>
        <v/>
      </c>
      <c r="AT21" s="30" t="str">
        <f t="shared" si="13"/>
        <v/>
      </c>
      <c r="AU21" s="30" t="str">
        <f t="shared" si="13"/>
        <v/>
      </c>
      <c r="AV21" s="30" t="str">
        <f t="shared" si="13"/>
        <v/>
      </c>
      <c r="AW21" s="30" t="str">
        <f t="shared" si="13"/>
        <v/>
      </c>
    </row>
    <row r="22" spans="1:49" ht="45" customHeight="1" thickBot="1">
      <c r="A22" s="102" t="str">
        <f>CONCATENATE("*",A21,"$",D21,AF21,AG21,AH21,AI21,AJ21,AK21,AL21,AM21,AN21,AO21,AP21,AQ21,AR21,AS21,AT21,AU21,AV21,AW21,"*")</f>
        <v>*$0*</v>
      </c>
      <c r="B22" s="105"/>
      <c r="C22" s="105"/>
      <c r="D22" s="105"/>
      <c r="E22" s="106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1"/>
      <c r="AD22" s="101"/>
      <c r="AE22" s="101"/>
      <c r="AF22" s="30"/>
      <c r="AG22" s="30"/>
      <c r="AH22" s="30"/>
    </row>
    <row r="23" spans="1:49" ht="15.75" customHeight="1" thickBot="1">
      <c r="A23" s="56"/>
      <c r="B23" s="56">
        <f>'Braki_z kodami'!C23</f>
        <v>0</v>
      </c>
      <c r="C23" s="33" t="s">
        <v>79</v>
      </c>
      <c r="D23" s="53">
        <f>'Braki_z kodami'!F23</f>
        <v>0</v>
      </c>
      <c r="E23" s="54">
        <f>SUM(F23:AB23)</f>
        <v>0</v>
      </c>
      <c r="F23" s="45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101" t="s">
        <v>80</v>
      </c>
      <c r="AD23" s="101"/>
      <c r="AE23" s="101"/>
      <c r="AF23" s="30" t="str">
        <f t="shared" ref="AF23:AM23" si="14">CONCATENATE(IF(F23="","",F$8),F23)</f>
        <v/>
      </c>
      <c r="AG23" s="30" t="str">
        <f t="shared" si="14"/>
        <v/>
      </c>
      <c r="AH23" s="30" t="str">
        <f t="shared" si="14"/>
        <v/>
      </c>
      <c r="AI23" s="30" t="str">
        <f t="shared" si="14"/>
        <v/>
      </c>
      <c r="AJ23" s="30" t="str">
        <f t="shared" si="14"/>
        <v/>
      </c>
      <c r="AK23" s="30" t="str">
        <f t="shared" si="14"/>
        <v/>
      </c>
      <c r="AL23" s="30" t="str">
        <f t="shared" si="14"/>
        <v/>
      </c>
      <c r="AM23" s="30" t="str">
        <f t="shared" si="14"/>
        <v/>
      </c>
      <c r="AN23" s="30" t="str">
        <f t="shared" ref="AN23:AW23" si="15">CONCATENATE(IF(S23="","",S$8),S23)</f>
        <v/>
      </c>
      <c r="AO23" s="30" t="str">
        <f t="shared" si="15"/>
        <v/>
      </c>
      <c r="AP23" s="30" t="str">
        <f t="shared" si="15"/>
        <v/>
      </c>
      <c r="AQ23" s="30" t="str">
        <f t="shared" si="15"/>
        <v/>
      </c>
      <c r="AR23" s="30" t="str">
        <f t="shared" si="15"/>
        <v/>
      </c>
      <c r="AS23" s="30" t="str">
        <f t="shared" si="15"/>
        <v/>
      </c>
      <c r="AT23" s="30" t="str">
        <f t="shared" si="15"/>
        <v/>
      </c>
      <c r="AU23" s="30" t="str">
        <f t="shared" si="15"/>
        <v/>
      </c>
      <c r="AV23" s="30" t="str">
        <f t="shared" si="15"/>
        <v/>
      </c>
      <c r="AW23" s="30" t="str">
        <f t="shared" si="15"/>
        <v/>
      </c>
    </row>
    <row r="24" spans="1:49" ht="45" customHeight="1" thickBot="1">
      <c r="A24" s="102" t="str">
        <f>CONCATENATE("*",A23,"$",D23,AF23,AG23,AH23,AI23,AJ23,AK23,AL23,AM23,AN23,AO23,AP23,AQ23,AR23,AS23,AT23,AU23,AV23,AW23,"*")</f>
        <v>*$0*</v>
      </c>
      <c r="B24" s="102"/>
      <c r="C24" s="102"/>
      <c r="D24" s="102"/>
      <c r="E24" s="107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1"/>
      <c r="AD24" s="101"/>
      <c r="AE24" s="101"/>
      <c r="AF24" s="30"/>
      <c r="AG24" s="30"/>
      <c r="AH24" s="30"/>
    </row>
    <row r="25" spans="1:49" ht="15" thickBot="1">
      <c r="A25" s="56"/>
      <c r="B25" s="56">
        <f>'Braki_z kodami'!C25</f>
        <v>0</v>
      </c>
      <c r="C25" s="33" t="s">
        <v>79</v>
      </c>
      <c r="D25" s="53">
        <f>'Braki_z kodami'!F25</f>
        <v>0</v>
      </c>
      <c r="E25" s="54">
        <f>SUM(F25:AB25)</f>
        <v>0</v>
      </c>
      <c r="F25" s="45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101"/>
      <c r="AD25" s="101"/>
      <c r="AE25" s="101"/>
      <c r="AF25" s="30" t="str">
        <f t="shared" ref="AF25:AM25" si="16">CONCATENATE(IF(F25="","",F$8),F25)</f>
        <v/>
      </c>
      <c r="AG25" s="30" t="str">
        <f t="shared" si="16"/>
        <v/>
      </c>
      <c r="AH25" s="30" t="str">
        <f t="shared" si="16"/>
        <v/>
      </c>
      <c r="AI25" s="30" t="str">
        <f t="shared" si="16"/>
        <v/>
      </c>
      <c r="AJ25" s="30" t="str">
        <f t="shared" si="16"/>
        <v/>
      </c>
      <c r="AK25" s="30"/>
      <c r="AL25" s="30" t="str">
        <f t="shared" si="16"/>
        <v/>
      </c>
      <c r="AM25" s="30" t="str">
        <f t="shared" si="16"/>
        <v/>
      </c>
      <c r="AN25" s="30" t="str">
        <f t="shared" ref="AN25:AW25" si="17">CONCATENATE(IF(S25="","",S$8),S25)</f>
        <v/>
      </c>
      <c r="AO25" s="30" t="str">
        <f t="shared" si="17"/>
        <v/>
      </c>
      <c r="AP25" s="30" t="str">
        <f t="shared" si="17"/>
        <v/>
      </c>
      <c r="AQ25" s="30" t="str">
        <f t="shared" si="17"/>
        <v/>
      </c>
      <c r="AR25" s="30" t="str">
        <f t="shared" si="17"/>
        <v/>
      </c>
      <c r="AS25" s="30" t="str">
        <f t="shared" si="17"/>
        <v/>
      </c>
      <c r="AT25" s="30" t="str">
        <f t="shared" si="17"/>
        <v/>
      </c>
      <c r="AU25" s="30" t="str">
        <f t="shared" si="17"/>
        <v/>
      </c>
      <c r="AV25" s="30" t="str">
        <f t="shared" si="17"/>
        <v/>
      </c>
      <c r="AW25" s="30" t="str">
        <f t="shared" si="17"/>
        <v/>
      </c>
    </row>
    <row r="26" spans="1:49" ht="45" customHeight="1" thickBot="1">
      <c r="A26" s="102" t="str">
        <f>CONCATENATE("*",A25,"$",D25,AF25,AG25,AH25,AI25,AJ25,AK25,AL25,AM25,AN25,AO25,AP25,AQ25,AR25,AS25,AT25,AU25,AV25,AW25,"*")</f>
        <v>*$0*</v>
      </c>
      <c r="B26" s="105"/>
      <c r="C26" s="105"/>
      <c r="D26" s="105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1"/>
      <c r="AD26" s="101"/>
      <c r="AE26" s="101"/>
      <c r="AF26" s="30"/>
      <c r="AG26" s="30"/>
      <c r="AH26" s="30"/>
    </row>
    <row r="27" spans="1:49" ht="15" thickBot="1">
      <c r="A27" s="56"/>
      <c r="B27" s="56">
        <f>'Braki_z kodami'!C27</f>
        <v>0</v>
      </c>
      <c r="C27" s="33" t="s">
        <v>79</v>
      </c>
      <c r="D27" s="53">
        <f>'Braki_z kodami'!F27</f>
        <v>0</v>
      </c>
      <c r="E27" s="54">
        <f>SUM(F27:AB27)</f>
        <v>0</v>
      </c>
      <c r="F27" s="45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108"/>
      <c r="AD27" s="109"/>
      <c r="AE27" s="110"/>
      <c r="AF27" s="30" t="str">
        <f t="shared" ref="AF27:AM27" si="18">CONCATENATE(IF(F27="","",F$8),F27)</f>
        <v/>
      </c>
      <c r="AG27" s="30" t="str">
        <f t="shared" si="18"/>
        <v/>
      </c>
      <c r="AH27" s="30" t="str">
        <f t="shared" si="18"/>
        <v/>
      </c>
      <c r="AI27" s="30" t="str">
        <f t="shared" si="18"/>
        <v/>
      </c>
      <c r="AJ27" s="30" t="str">
        <f t="shared" si="18"/>
        <v/>
      </c>
      <c r="AK27" s="30"/>
      <c r="AL27" s="30" t="str">
        <f t="shared" si="18"/>
        <v/>
      </c>
      <c r="AM27" s="30" t="str">
        <f t="shared" si="18"/>
        <v/>
      </c>
      <c r="AN27" s="30" t="str">
        <f t="shared" ref="AN27:AW27" si="19">CONCATENATE(IF(S27="","",S$8),S27)</f>
        <v/>
      </c>
      <c r="AO27" s="30" t="str">
        <f t="shared" si="19"/>
        <v/>
      </c>
      <c r="AP27" s="30" t="str">
        <f t="shared" si="19"/>
        <v/>
      </c>
      <c r="AQ27" s="30" t="str">
        <f t="shared" si="19"/>
        <v/>
      </c>
      <c r="AR27" s="30" t="str">
        <f t="shared" si="19"/>
        <v/>
      </c>
      <c r="AS27" s="30" t="str">
        <f t="shared" si="19"/>
        <v/>
      </c>
      <c r="AT27" s="30" t="str">
        <f t="shared" si="19"/>
        <v/>
      </c>
      <c r="AU27" s="30" t="str">
        <f t="shared" si="19"/>
        <v/>
      </c>
      <c r="AV27" s="30" t="str">
        <f t="shared" si="19"/>
        <v/>
      </c>
      <c r="AW27" s="30" t="str">
        <f t="shared" si="19"/>
        <v/>
      </c>
    </row>
    <row r="28" spans="1:49" ht="45" customHeight="1" thickBot="1">
      <c r="A28" s="102" t="str">
        <f>CONCATENATE("*",A27,"$",D27,AF27,AG27,AH27,AI27,AJ27,AK27,AL27,AM27,AN27,AO27,AP27,AQ27,AR27,AS27,AT27,AU27,AV27,AW27,"*")</f>
        <v>*$0*</v>
      </c>
      <c r="B28" s="105"/>
      <c r="C28" s="105"/>
      <c r="D28" s="105"/>
      <c r="E28" s="106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11"/>
      <c r="AD28" s="112"/>
      <c r="AE28" s="113"/>
      <c r="AF28" s="30"/>
      <c r="AG28" s="30"/>
      <c r="AH28" s="30"/>
    </row>
    <row r="29" spans="1:49" ht="15" thickBot="1">
      <c r="A29" s="56"/>
      <c r="B29" s="56">
        <f>'Braki_z kodami'!C29</f>
        <v>0</v>
      </c>
      <c r="C29" s="33" t="s">
        <v>79</v>
      </c>
      <c r="D29" s="53">
        <f>'Braki_z kodami'!F29</f>
        <v>0</v>
      </c>
      <c r="E29" s="54">
        <f>SUM(F29:AB29)</f>
        <v>0</v>
      </c>
      <c r="F29" s="45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108"/>
      <c r="AD29" s="109"/>
      <c r="AE29" s="110"/>
      <c r="AF29" s="30" t="str">
        <f t="shared" ref="AF29:AM29" si="20">CONCATENATE(IF(F29="","",F$8),F29)</f>
        <v/>
      </c>
      <c r="AG29" s="30" t="str">
        <f t="shared" si="20"/>
        <v/>
      </c>
      <c r="AH29" s="30" t="str">
        <f t="shared" si="20"/>
        <v/>
      </c>
      <c r="AI29" s="30" t="str">
        <f t="shared" si="20"/>
        <v/>
      </c>
      <c r="AJ29" s="30" t="str">
        <f t="shared" si="20"/>
        <v/>
      </c>
      <c r="AK29" s="30" t="str">
        <f t="shared" si="20"/>
        <v/>
      </c>
      <c r="AL29" s="30" t="str">
        <f t="shared" si="20"/>
        <v/>
      </c>
      <c r="AM29" s="30" t="str">
        <f t="shared" si="20"/>
        <v/>
      </c>
      <c r="AN29" s="30" t="str">
        <f t="shared" ref="AN29:AW29" si="21">CONCATENATE(IF(S29="","",S$8),S29)</f>
        <v/>
      </c>
      <c r="AO29" s="30" t="str">
        <f t="shared" si="21"/>
        <v/>
      </c>
      <c r="AP29" s="30" t="str">
        <f t="shared" si="21"/>
        <v/>
      </c>
      <c r="AQ29" s="30" t="str">
        <f t="shared" si="21"/>
        <v/>
      </c>
      <c r="AR29" s="30" t="str">
        <f t="shared" si="21"/>
        <v/>
      </c>
      <c r="AS29" s="30" t="str">
        <f t="shared" si="21"/>
        <v/>
      </c>
      <c r="AT29" s="30" t="str">
        <f t="shared" si="21"/>
        <v/>
      </c>
      <c r="AU29" s="30" t="str">
        <f t="shared" si="21"/>
        <v/>
      </c>
      <c r="AV29" s="30" t="str">
        <f t="shared" si="21"/>
        <v/>
      </c>
      <c r="AW29" s="30" t="str">
        <f t="shared" si="21"/>
        <v/>
      </c>
    </row>
    <row r="30" spans="1:49" ht="45" customHeight="1" thickBot="1">
      <c r="A30" s="102" t="str">
        <f>CONCATENATE("*",A29,"$",D29,AF29,AG29,AH29,AI29,AJ29,AK29,AL29,AM29,AN29,AO29,AP29,AQ29,AR29,AS29,AT29,AU29,AV29,AW29,"*")</f>
        <v>*$0*</v>
      </c>
      <c r="B30" s="105"/>
      <c r="C30" s="105"/>
      <c r="D30" s="105"/>
      <c r="E30" s="106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11"/>
      <c r="AD30" s="112"/>
      <c r="AE30" s="113"/>
      <c r="AF30" s="30"/>
      <c r="AG30" s="30"/>
      <c r="AH30" s="30"/>
    </row>
    <row r="31" spans="1:49" ht="15" thickBot="1">
      <c r="A31" s="56"/>
      <c r="B31" s="56">
        <f>'Braki_z kodami'!C31</f>
        <v>0</v>
      </c>
      <c r="C31" s="33" t="s">
        <v>79</v>
      </c>
      <c r="D31" s="53">
        <f>'Braki_z kodami'!F31</f>
        <v>0</v>
      </c>
      <c r="E31" s="54">
        <f>SUM(F31:AB31)</f>
        <v>0</v>
      </c>
      <c r="F31" s="45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108"/>
      <c r="AD31" s="109"/>
      <c r="AE31" s="110"/>
      <c r="AF31" s="30" t="str">
        <f t="shared" ref="AF31:AJ31" si="22">CONCATENATE(IF(F31="","",F$8),F31)</f>
        <v/>
      </c>
      <c r="AG31" s="30" t="str">
        <f t="shared" si="22"/>
        <v/>
      </c>
      <c r="AH31" s="30" t="str">
        <f t="shared" si="22"/>
        <v/>
      </c>
      <c r="AI31" s="30" t="str">
        <f t="shared" si="22"/>
        <v/>
      </c>
      <c r="AJ31" s="30" t="str">
        <f t="shared" si="22"/>
        <v/>
      </c>
      <c r="AK31" s="30"/>
      <c r="AL31" s="30"/>
      <c r="AM31" s="30"/>
      <c r="AN31" s="30" t="str">
        <f t="shared" ref="AN31:AW31" si="23">CONCATENATE(IF(S31="","",S$8),S31)</f>
        <v/>
      </c>
      <c r="AO31" s="30" t="str">
        <f t="shared" si="23"/>
        <v/>
      </c>
      <c r="AP31" s="30" t="str">
        <f t="shared" si="23"/>
        <v/>
      </c>
      <c r="AQ31" s="30" t="str">
        <f t="shared" si="23"/>
        <v/>
      </c>
      <c r="AR31" s="30" t="str">
        <f t="shared" si="23"/>
        <v/>
      </c>
      <c r="AS31" s="30" t="str">
        <f t="shared" si="23"/>
        <v/>
      </c>
      <c r="AT31" s="30" t="str">
        <f t="shared" si="23"/>
        <v/>
      </c>
      <c r="AU31" s="30" t="str">
        <f t="shared" si="23"/>
        <v/>
      </c>
      <c r="AV31" s="30" t="str">
        <f t="shared" si="23"/>
        <v/>
      </c>
      <c r="AW31" s="30" t="str">
        <f t="shared" si="23"/>
        <v/>
      </c>
    </row>
    <row r="32" spans="1:49" ht="45" customHeight="1" thickBot="1">
      <c r="A32" s="102" t="str">
        <f>CONCATENATE("*",A31,"$",D31,AF31,AG31,AH31,AI31,AJ31,AK31,AL31,AM31,AN31,AO31,AP31,AQ31,AR31,AS31,AT31,AU31,AV31,AW31,"*")</f>
        <v>*$0*</v>
      </c>
      <c r="B32" s="105"/>
      <c r="C32" s="105"/>
      <c r="D32" s="105"/>
      <c r="E32" s="106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11"/>
      <c r="AD32" s="112"/>
      <c r="AE32" s="113"/>
      <c r="AF32" s="30"/>
      <c r="AG32" s="30"/>
      <c r="AH32" s="30"/>
    </row>
    <row r="33" spans="1:49" ht="15" thickBot="1">
      <c r="A33" s="56"/>
      <c r="B33" s="56">
        <f>'Braki_z kodami'!C33</f>
        <v>0</v>
      </c>
      <c r="C33" s="33" t="s">
        <v>79</v>
      </c>
      <c r="D33" s="53">
        <f>'Braki_z kodami'!F33</f>
        <v>0</v>
      </c>
      <c r="E33" s="54">
        <f>SUM(F33:AB33)</f>
        <v>0</v>
      </c>
      <c r="F33" s="45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115"/>
      <c r="AD33" s="116"/>
      <c r="AE33" s="117"/>
      <c r="AF33" s="30" t="str">
        <f t="shared" ref="AF33:AJ33" si="24">CONCATENATE(IF(F33="","",F$8),F33)</f>
        <v/>
      </c>
      <c r="AG33" s="30" t="str">
        <f t="shared" si="24"/>
        <v/>
      </c>
      <c r="AH33" s="30" t="str">
        <f t="shared" si="24"/>
        <v/>
      </c>
      <c r="AI33" s="30" t="str">
        <f t="shared" si="24"/>
        <v/>
      </c>
      <c r="AJ33" s="30" t="str">
        <f t="shared" si="24"/>
        <v/>
      </c>
      <c r="AK33" s="30"/>
      <c r="AL33" s="30"/>
      <c r="AM33" s="30"/>
      <c r="AN33" s="30" t="str">
        <f t="shared" ref="AN33:AW33" si="25">CONCATENATE(IF(S33="","",S$8),S33)</f>
        <v/>
      </c>
      <c r="AO33" s="30" t="str">
        <f t="shared" si="25"/>
        <v/>
      </c>
      <c r="AP33" s="30" t="str">
        <f t="shared" si="25"/>
        <v/>
      </c>
      <c r="AQ33" s="30" t="str">
        <f t="shared" si="25"/>
        <v/>
      </c>
      <c r="AR33" s="30" t="str">
        <f t="shared" si="25"/>
        <v/>
      </c>
      <c r="AS33" s="30" t="str">
        <f t="shared" si="25"/>
        <v/>
      </c>
      <c r="AT33" s="30" t="str">
        <f t="shared" si="25"/>
        <v/>
      </c>
      <c r="AU33" s="30" t="str">
        <f t="shared" si="25"/>
        <v/>
      </c>
      <c r="AV33" s="30" t="str">
        <f t="shared" si="25"/>
        <v/>
      </c>
      <c r="AW33" s="30" t="str">
        <f t="shared" si="25"/>
        <v/>
      </c>
    </row>
    <row r="34" spans="1:49" ht="45" customHeight="1" thickBot="1">
      <c r="A34" s="102" t="str">
        <f>CONCATENATE("*",A33,"$",D33,AF33,AG33,AH33,AI33,AJ33,AK33,AL33,AM33,AN33,AO33,AP33,AQ33,AR33,AS33,AT33,AU33,AV33,AW33,"*")</f>
        <v>*$0*</v>
      </c>
      <c r="B34" s="102"/>
      <c r="C34" s="102"/>
      <c r="D34" s="102"/>
      <c r="E34" s="107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18"/>
      <c r="AD34" s="119"/>
      <c r="AE34" s="120"/>
      <c r="AF34" s="30"/>
      <c r="AG34" s="30"/>
      <c r="AH34" s="30"/>
    </row>
    <row r="35" spans="1:49" ht="15" thickBot="1">
      <c r="A35" s="56"/>
      <c r="B35" s="56">
        <f>'Braki_z kodami'!C35</f>
        <v>0</v>
      </c>
      <c r="C35" s="33" t="s">
        <v>79</v>
      </c>
      <c r="D35" s="53">
        <f>'Braki_z kodami'!F35</f>
        <v>0</v>
      </c>
      <c r="E35" s="54">
        <f>SUM(F35:AB35)</f>
        <v>0</v>
      </c>
      <c r="F35" s="45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96"/>
      <c r="AD35" s="96"/>
      <c r="AE35" s="96"/>
      <c r="AF35" s="30" t="str">
        <f t="shared" ref="AF35:AJ35" si="26">CONCATENATE(IF(F35="","",F$8),F35)</f>
        <v/>
      </c>
      <c r="AG35" s="30" t="str">
        <f t="shared" si="26"/>
        <v/>
      </c>
      <c r="AH35" s="30" t="str">
        <f t="shared" si="26"/>
        <v/>
      </c>
      <c r="AI35" s="30" t="str">
        <f t="shared" si="26"/>
        <v/>
      </c>
      <c r="AJ35" s="30" t="str">
        <f t="shared" si="26"/>
        <v/>
      </c>
      <c r="AK35" s="30"/>
      <c r="AL35" s="30"/>
      <c r="AM35" s="30"/>
      <c r="AN35" s="30" t="str">
        <f t="shared" ref="AN35:AW35" si="27">CONCATENATE(IF(S35="","",S$8),S35)</f>
        <v/>
      </c>
      <c r="AO35" s="30" t="str">
        <f t="shared" si="27"/>
        <v/>
      </c>
      <c r="AP35" s="30" t="str">
        <f t="shared" si="27"/>
        <v/>
      </c>
      <c r="AQ35" s="30" t="str">
        <f t="shared" si="27"/>
        <v/>
      </c>
      <c r="AR35" s="30" t="str">
        <f t="shared" si="27"/>
        <v/>
      </c>
      <c r="AS35" s="30" t="str">
        <f t="shared" si="27"/>
        <v/>
      </c>
      <c r="AT35" s="30" t="str">
        <f t="shared" si="27"/>
        <v/>
      </c>
      <c r="AU35" s="30" t="str">
        <f t="shared" si="27"/>
        <v/>
      </c>
      <c r="AV35" s="30" t="str">
        <f t="shared" si="27"/>
        <v/>
      </c>
      <c r="AW35" s="30" t="str">
        <f t="shared" si="27"/>
        <v/>
      </c>
    </row>
    <row r="36" spans="1:49" ht="45" customHeight="1">
      <c r="A36" s="102" t="str">
        <f>CONCATENATE("*",A35,"$",D35,AF35,AG35,AH35,AI35,AJ35,AK35,AL35,AM35,AN35,AO35,AP35,AQ35,AR35,AS35,AT35,AU35,AV35,AW35,"*")</f>
        <v>*$0*</v>
      </c>
      <c r="B36" s="102"/>
      <c r="C36" s="102"/>
      <c r="D36" s="102"/>
      <c r="E36" s="121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97"/>
      <c r="AD36" s="97"/>
      <c r="AE36" s="97"/>
      <c r="AF36" s="30"/>
      <c r="AG36" s="30"/>
      <c r="AH36" s="30"/>
    </row>
    <row r="37" spans="1:49" ht="9" customHeight="1" thickBot="1">
      <c r="H37" s="35">
        <v>2</v>
      </c>
    </row>
    <row r="38" spans="1:49" ht="15" thickBot="1">
      <c r="A38" s="122" t="s">
        <v>21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4"/>
    </row>
    <row r="39" spans="1:49">
      <c r="A39" s="15" t="s">
        <v>22</v>
      </c>
      <c r="B39" s="17"/>
      <c r="C39" s="16"/>
      <c r="D39" s="16"/>
      <c r="E39" s="16"/>
      <c r="F39" s="17"/>
      <c r="G39" s="17" t="s">
        <v>41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7" t="s">
        <v>23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8"/>
    </row>
    <row r="40" spans="1:49">
      <c r="A40" s="7" t="s">
        <v>24</v>
      </c>
      <c r="B40" s="9"/>
      <c r="C40" s="8"/>
      <c r="D40" s="8"/>
      <c r="E40" s="8"/>
      <c r="F40" s="9"/>
      <c r="G40" s="9" t="s">
        <v>25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9" t="s">
        <v>26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/>
    </row>
    <row r="41" spans="1:49">
      <c r="A41" s="7" t="s">
        <v>27</v>
      </c>
      <c r="B41" s="9"/>
      <c r="C41" s="8"/>
      <c r="D41" s="8"/>
      <c r="E41" s="8"/>
      <c r="F41" s="9"/>
      <c r="G41" s="9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9" t="s">
        <v>52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</row>
    <row r="42" spans="1:49" ht="15" thickBot="1">
      <c r="A42" s="7" t="s">
        <v>56</v>
      </c>
      <c r="B42" s="9"/>
      <c r="C42" s="8"/>
      <c r="D42" s="8"/>
      <c r="E42" s="8"/>
      <c r="F42" s="9"/>
      <c r="G42" s="9" t="s">
        <v>53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9" t="s">
        <v>54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4"/>
    </row>
    <row r="43" spans="1:49">
      <c r="A43" s="9" t="s">
        <v>57</v>
      </c>
      <c r="B43" s="9"/>
      <c r="C43" s="8"/>
      <c r="D43" s="8"/>
      <c r="E43" s="8"/>
      <c r="F43" s="9"/>
      <c r="G43" s="9" t="s">
        <v>55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 t="s">
        <v>49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"/>
    </row>
    <row r="44" spans="1:49" ht="15" thickBot="1">
      <c r="A44" s="11" t="s">
        <v>58</v>
      </c>
      <c r="B44" s="13"/>
      <c r="C44" s="12"/>
      <c r="D44" s="12"/>
      <c r="E44" s="12"/>
      <c r="F44" s="13"/>
      <c r="G44" s="12" t="s">
        <v>59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">
        <v>60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20"/>
    </row>
    <row r="45" spans="1:49" ht="15.5">
      <c r="A45" s="114" t="s">
        <v>36</v>
      </c>
      <c r="B45" s="114"/>
      <c r="C45" s="32"/>
      <c r="D45" s="2"/>
      <c r="E45" s="2"/>
      <c r="F45" s="2"/>
      <c r="G45" s="2"/>
      <c r="H45" s="114" t="s">
        <v>37</v>
      </c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3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</sheetData>
  <mergeCells count="49">
    <mergeCell ref="A45:B45"/>
    <mergeCell ref="H45:U45"/>
    <mergeCell ref="AC33:AE34"/>
    <mergeCell ref="A34:AB34"/>
    <mergeCell ref="AC35:AE36"/>
    <mergeCell ref="A36:AB36"/>
    <mergeCell ref="A38:AG38"/>
    <mergeCell ref="AC27:AE28"/>
    <mergeCell ref="A28:AB28"/>
    <mergeCell ref="AC29:AE30"/>
    <mergeCell ref="A30:AB30"/>
    <mergeCell ref="AC31:AE32"/>
    <mergeCell ref="A32:AB32"/>
    <mergeCell ref="AC21:AE22"/>
    <mergeCell ref="A22:AB22"/>
    <mergeCell ref="AC23:AE24"/>
    <mergeCell ref="A24:AB24"/>
    <mergeCell ref="AC25:AE26"/>
    <mergeCell ref="A26:AB26"/>
    <mergeCell ref="AC15:AE16"/>
    <mergeCell ref="A16:AB16"/>
    <mergeCell ref="AC17:AE18"/>
    <mergeCell ref="A18:AB18"/>
    <mergeCell ref="AC19:AE20"/>
    <mergeCell ref="A20:AB20"/>
    <mergeCell ref="AC9:AE10"/>
    <mergeCell ref="A10:AB10"/>
    <mergeCell ref="AC11:AE12"/>
    <mergeCell ref="A12:AB12"/>
    <mergeCell ref="AC13:AE14"/>
    <mergeCell ref="A14:AB14"/>
    <mergeCell ref="AC5:AE5"/>
    <mergeCell ref="A7:A8"/>
    <mergeCell ref="B7:B8"/>
    <mergeCell ref="C7:C8"/>
    <mergeCell ref="D7:D8"/>
    <mergeCell ref="E7:E8"/>
    <mergeCell ref="F7:AB7"/>
    <mergeCell ref="AC7:AE8"/>
    <mergeCell ref="C5:D5"/>
    <mergeCell ref="F5:I5"/>
    <mergeCell ref="J5:W5"/>
    <mergeCell ref="X5:Y5"/>
    <mergeCell ref="Z5:AB5"/>
    <mergeCell ref="A1:A3"/>
    <mergeCell ref="C1:T3"/>
    <mergeCell ref="U1:AE1"/>
    <mergeCell ref="U2:AE2"/>
    <mergeCell ref="U3:AE3"/>
  </mergeCells>
  <dataValidations count="6">
    <dataValidation type="list" allowBlank="1" showInputMessage="1" showErrorMessage="1" sqref="F5:I5" xr:uid="{00000000-0002-0000-0100-000000000000}">
      <formula1>$AH$1:$AH$7</formula1>
    </dataValidation>
    <dataValidation type="list" allowBlank="1" showInputMessage="1" showErrorMessage="1" sqref="B5" xr:uid="{00000000-0002-0000-0100-000001000000}">
      <formula1>$AG$1:$AG$2</formula1>
    </dataValidation>
    <dataValidation type="whole" allowBlank="1" showInputMessage="1" showErrorMessage="1" sqref="E17 E35 E33 E13 E29 E27 E25 E23 E31 E19 E21" xr:uid="{00000000-0002-0000-0100-000002000000}">
      <formula1>0</formula1>
      <formula2>99999</formula2>
    </dataValidation>
    <dataValidation type="whole" allowBlank="1" showInputMessage="1" showErrorMessage="1" sqref="F31:AB31 F35:AB35 F33:AB33 F27:AB27 F25:AB25 F23:AB23 F21:AB21 F19:AB19 F17:AB17 F13:AB13 E15:AB15 E11:AB11 F29:AB29 E9" xr:uid="{00000000-0002-0000-0100-000003000000}">
      <formula1>1</formula1>
      <formula2>99999</formula2>
    </dataValidation>
    <dataValidation type="date" allowBlank="1" showInputMessage="1" showErrorMessage="1" prompt="Niewłaściwa data" sqref="Z5" xr:uid="{00000000-0002-0000-0100-000004000000}">
      <formula1>41395</formula1>
      <formula2>TODAY()</formula2>
    </dataValidation>
    <dataValidation type="custom" allowBlank="1" showInputMessage="1" showErrorMessage="1" sqref="A13:B13 A29:B29 A17:B17 A25:B25 A27:B27 A33:B33 A31:B31 A15:B15 A19:B19 A21:B21 A11:B11 A35:B35 A23:B23 A9:B9" xr:uid="{00000000-0002-0000-0100-000005000000}">
      <formula1>BA9</formula1>
    </dataValidation>
  </dataValidations>
  <pageMargins left="0.39370078740157483" right="0.39370078740157483" top="0.39370078740157483" bottom="0.39370078740157483" header="0" footer="0"/>
  <pageSetup paperSize="9" scale="6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4" name="Button 1">
              <controlPr defaultSize="0" print="0" autoFill="0" autoPict="0" macro="[0]!Button2_Click">
                <anchor moveWithCells="1" sizeWithCells="1">
                  <from>
                    <xdr:col>77</xdr:col>
                    <xdr:colOff>101600</xdr:colOff>
                    <xdr:row>0</xdr:row>
                    <xdr:rowOff>31750</xdr:rowOff>
                  </from>
                  <to>
                    <xdr:col>78</xdr:col>
                    <xdr:colOff>406400</xdr:colOff>
                    <xdr:row>2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Braki_z kodami</vt:lpstr>
      <vt:lpstr>Braki_z_kodami - firmy zewn.</vt:lpstr>
      <vt:lpstr>'Braki_z kodami'!Print_Area</vt:lpstr>
      <vt:lpstr>'Braki_z_kodami - firmy zewn.'!Print_Area</vt:lpstr>
    </vt:vector>
  </TitlesOfParts>
  <Company>Eaton Automotive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M.03.01.00.02_Rozdzielnik_dokumentacji</dc:title>
  <dc:creator>BB Quality team</dc:creator>
  <cp:lastModifiedBy>Arkadiusz Poniewierski</cp:lastModifiedBy>
  <cp:lastPrinted>2024-02-15T06:39:55Z</cp:lastPrinted>
  <dcterms:created xsi:type="dcterms:W3CDTF">1997-11-22T14:44:33Z</dcterms:created>
  <dcterms:modified xsi:type="dcterms:W3CDTF">2026-05-08T14:31:01Z</dcterms:modified>
</cp:coreProperties>
</file>